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a22e22cc3f41ce" /></Relationships>
</file>

<file path=xl/workbook.xml><?xml version="1.0" encoding="utf-8"?>
<x:workbook xmlns:x="http://schemas.openxmlformats.org/spreadsheetml/2006/main">
  <x:sheets>
    <x:sheet xmlns:r="http://schemas.openxmlformats.org/officeDocument/2006/relationships" name="Human_Review" sheetId="1" r:id="Rf7b26d260c7c49b7"/>
    <x:sheet xmlns:r="http://schemas.openxmlformats.org/officeDocument/2006/relationships" name="Review_Guide" sheetId="2" r:id="Rc78ee40f74d149df"/>
    <x:sheet xmlns:r="http://schemas.openxmlformats.org/officeDocument/2006/relationships" name="Summary" sheetId="3" r:id="R7b3471de55f248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sz val="11"/>
      <x:color rgb="FF1F2937"/>
      <x:name val="Carlito"/>
    </x:font>
    <x:font>
      <x:b/>
      <x:sz val="11"/>
      <x:color rgb="FF7C2D12"/>
      <x:name val="Carlito"/>
    </x:font>
  </x:fonts>
  <x:fills count="7">
    <x:fill>
      <x:patternFill patternType="none"/>
    </x:fill>
    <x:fill>
      <x:patternFill patternType="gray125"/>
    </x:fill>
    <x:fill>
      <x:patternFill patternType="solid">
        <x:fgColor rgb="FF315B7D"/>
      </x:patternFill>
    </x:fill>
    <x:fill>
      <x:patternFill patternType="solid">
        <x:fgColor rgb="FF0F766E"/>
      </x:patternFill>
    </x:fill>
    <x:fill>
      <x:patternFill patternType="solid">
        <x:fgColor rgb="FFB45309"/>
      </x:patternFill>
    </x:fill>
    <x:fill>
      <x:patternFill patternType="solid">
        <x:fgColor rgb="FFF0FDFA"/>
      </x:patternFill>
    </x:fill>
    <x:fill>
      <x:patternFill patternType="solid">
        <x:fgColor rgb="FFFFF7D6"/>
      </x:patternFill>
    </x:fill>
  </x:fills>
  <x:borders count="9">
    <x:border/>
    <x:border>
      <x:left style="thin">
        <x:color rgb="FFD5DEE8"/>
      </x:left>
      <x:right style="thin">
        <x:color rgb="FFD5DEE8"/>
      </x:right>
      <x:top style="thin">
        <x:color rgb="FFD5DEE8"/>
      </x:top>
      <x:bottom style="thin">
        <x:color rgb="FFD5DEE8"/>
      </x:bottom>
    </x:border>
    <x:border>
      <x:right style="thin">
        <x:color rgb="FFE7ECF1"/>
      </x:right>
      <x:bottom style="thin">
        <x:color rgb="FFDCE4EC"/>
      </x:bottom>
    </x:border>
    <x:border>
      <x:left style="thin">
        <x:color rgb="FFE7ECF1"/>
      </x:left>
      <x:right style="thin">
        <x:color rgb="FFE7ECF1"/>
      </x:right>
      <x:bottom style="thin">
        <x:color rgb="FFDCE4EC"/>
      </x:bottom>
    </x:border>
    <x:border>
      <x:left style="thin">
        <x:color rgb="FFE7ECF1"/>
      </x:left>
      <x:bottom style="thin">
        <x:color rgb="FFDCE4EC"/>
      </x:bottom>
    </x:border>
    <x:border>
      <x:right style="thin">
        <x:color rgb="FFE7ECF1"/>
      </x:right>
      <x:top style="thin">
        <x:color rgb="FFDCE4EC"/>
      </x:top>
      <x:bottom style="thin">
        <x:color rgb="FFDCE4EC"/>
      </x:bottom>
    </x:border>
    <x:border>
      <x:left style="thin">
        <x:color rgb="FFE7ECF1"/>
      </x:left>
      <x:right style="thin">
        <x:color rgb="FFE7ECF1"/>
      </x:right>
      <x:top style="thin">
        <x:color rgb="FFDCE4EC"/>
      </x:top>
      <x:bottom style="thin">
        <x:color rgb="FFDCE4EC"/>
      </x:bottom>
    </x:border>
    <x:border>
      <x:left style="thin">
        <x:color rgb="FFE7ECF1"/>
      </x:left>
      <x:top style="thin">
        <x:color rgb="FFDCE4EC"/>
      </x:top>
      <x:bottom style="thin">
        <x:color rgb="FFDCE4EC"/>
      </x:bottom>
    </x:border>
    <x:border>
      <x:left style="thin">
        <x:color rgb="FFF1C27D"/>
      </x:left>
      <x:right style="thin">
        <x:color rgb="FFF1C27D"/>
      </x:right>
      <x:top style="thin">
        <x:color rgb="FFF1C27D"/>
      </x:top>
      <x:bottom style="thin">
        <x:color rgb="FFF1C27D"/>
      </x:bottom>
    </x:border>
  </x:borders>
  <x:cellStyleXfs count="1">
    <x:xf numFmtId="0" fontId="0" fillId="0" borderId="0"/>
  </x:cellStyleXfs>
  <x:cellXfs count="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5" borderId="3" xfId="0" applyNumberFormat="1" applyFont="1" applyFill="1" applyBorder="1" applyAlignment="1">
      <x:alignment vertical="top" wrapText="1"/>
    </x:xf>
    <x:xf numFmtId="0" fontId="2" fillId="5" borderId="6" xfId="0" applyNumberFormat="1" applyFont="1" applyFill="1" applyBorder="1" applyAlignment="1">
      <x:alignment vertical="top" wrapText="1"/>
    </x:xf>
    <x:xf numFmtId="0" fontId="2" fillId="6" borderId="3" xfId="0" applyNumberFormat="1" applyFont="1" applyFill="1" applyBorder="1" applyAlignment="1">
      <x:alignment vertical="top" wrapText="1"/>
    </x:xf>
    <x:xf numFmtId="0" fontId="2" fillId="6" borderId="4" xfId="0" applyNumberFormat="1" applyFont="1" applyFill="1" applyBorder="1" applyAlignment="1">
      <x:alignment vertical="top" wrapText="1"/>
    </x:xf>
    <x:xf numFmtId="0" fontId="2" fillId="6" borderId="6" xfId="0" applyNumberFormat="1" applyFont="1" applyFill="1" applyBorder="1" applyAlignment="1">
      <x:alignment vertical="top" wrapText="1"/>
    </x:xf>
    <x:xf numFmtId="0" fontId="2" fillId="6" borderId="7" xfId="0" applyNumberFormat="1" applyFont="1" applyFill="1" applyBorder="1" applyAlignment="1">
      <x:alignment vertical="top" wrapText="1"/>
    </x:xf>
    <x:xf numFmtId="0" fontId="3" fillId="6" borderId="3"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6" borderId="7" xfId="0" applyNumberFormat="1" applyFont="1" applyFill="1" applyBorder="1" applyAlignment="1">
      <x:alignment vertical="top" wrapText="1"/>
    </x:xf>
    <x:xf numFmtId="0" fontId="3" fillId="6" borderId="8" xfId="0" applyNumberFormat="1" applyFont="1" applyFill="1" applyBorder="1" applyAlignment="1">
      <x:alignment vertical="top" wrapText="1"/>
    </x:xf>
    <x:xf numFmtId="0" fontId="3" fillId="6" borderId="8" xfId="0" applyNumberFormat="1" applyFont="1" applyFill="1" applyBorder="1" applyAlignment="1">
      <x:alignment horizontal="center" vertical="top" wrapText="1"/>
    </x:xf>
    <x:xf numFmtId="0" fontId="3" fillId="6" borderId="8" xfId="0" applyNumberFormat="1" applyFont="1" applyFill="1" applyBorder="1" applyAlignment="1">
      <x:alignment horizontal="center" vertical="center" wrapText="1"/>
    </x:xf>
    <x:xf numFmtId="200" fontId="2" fillId="0" borderId="3" xfId="0" applyNumberFormat="1" applyFont="1" applyFill="1" applyBorder="1" applyAlignment="1">
      <x:alignment vertical="top" wrapText="1"/>
    </x:xf>
    <x:xf numFmtId="200" fontId="2" fillId="0" borderId="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f159dcfd64f4d0f" /><Relationship Type="http://schemas.openxmlformats.org/officeDocument/2006/relationships/theme" Target="/xl/theme/theme1.xml" Id="Rc4417ac33b1546f9" /><Relationship Type="http://schemas.openxmlformats.org/officeDocument/2006/relationships/sharedStrings" Target="/xl/sharedStrings.xml" Id="R5ba2b4a2b0074481" /><Relationship Type="http://schemas.openxmlformats.org/officeDocument/2006/relationships/worksheet" Target="/xl/worksheets/sheet1.xml" Id="Rf7b26d260c7c49b7" /><Relationship Type="http://schemas.openxmlformats.org/officeDocument/2006/relationships/worksheet" Target="/xl/worksheets/sheet2.xml" Id="Rc78ee40f74d149df" /><Relationship Type="http://schemas.openxmlformats.org/officeDocument/2006/relationships/worksheet" Target="/xl/worksheets/sheet3.xml" Id="R7b3471de55f24859" /></Relationships>
</file>

<file path=xl/tables/table1.xml><?xml version="1.0" encoding="utf-8"?>
<x:table xmlns:x="http://schemas.openxmlformats.org/spreadsheetml/2006/main" id="1" name="HumanReviewTableV31" displayName="HumanReviewTableV31" ref="A1:AG531" headerRowCount="1" totalsRowCount="0" totalsRowShown="0">
  <x:autoFilter ref="A1:AG531"/>
  <x:tableColumns count="33">
    <x:tableColumn id="1" name="query_id"/>
    <x:tableColumn id="2" name="answer_group_id"/>
    <x:tableColumn id="3" name="scenario_id"/>
    <x:tableColumn id="4" name="scenario_label"/>
    <x:tableColumn id="5" name="evaluation_track"/>
    <x:tableColumn id="6" name="query_type"/>
    <x:tableColumn id="7" name="dataset_partition"/>
    <x:tableColumn id="8" name="difficulty_level"/>
    <x:tableColumn id="9" name="source_task_ids"/>
    <x:tableColumn id="10" name="current_context_ids"/>
    <x:tableColumn id="11" name="required_memory_ids"/>
    <x:tableColumn id="12" name="candidate_memory_ids"/>
    <x:tableColumn id="13" name="forbidden_memory_ids"/>
    <x:tableColumn id="14" name="target_content_types"/>
    <x:tableColumn id="15" name="target_memory_types"/>
    <x:tableColumn id="16" name="apps_involved"/>
    <x:tableColumn id="17" name="workflow_steps_json"/>
    <x:tableColumn id="18" name="handoff_artifacts_json"/>
    <x:tableColumn id="19" name="expected_action_keys"/>
    <x:tableColumn id="20" name="target_objects"/>
    <x:tableColumn id="21" name="decision_class"/>
    <x:tableColumn id="22" name="scoring_points_json"/>
    <x:tableColumn id="23" name="max_score"/>
    <x:tableColumn id="24" name="query_text"/>
    <x:tableColumn id="25" name="required_memory_texts"/>
    <x:tableColumn id="26" name="candidate_memory_texts"/>
    <x:tableColumn id="27" name="forbidden_memory_texts"/>
    <x:tableColumn id="28" name="expected_conclusion"/>
    <x:tableColumn id="29" name="expected_operation_text"/>
    <x:tableColumn id="30" name="answer_reasoning"/>
    <x:tableColumn id="31" name="scoring_rubric_text"/>
    <x:tableColumn id="32" name="status"/>
    <x:tableColumn id="33" name="rank"/>
  </x:tableColumns>
  <x:tableStyleInfo name="TableStyleMedium2" showFirstColumn="0" showLastColumn="0" showRowStripes="1" showColumnStripes="0"/>
</x:table>
</file>

<file path=xl/tables/table2.xml><?xml version="1.0" encoding="utf-8"?>
<x:table xmlns:x="http://schemas.openxmlformats.org/spreadsheetml/2006/main" id="2" name="ReviewGuideTableV31" displayName="ReviewGuideTableV31" ref="A1:B12" headerRowCount="1" totalsRowCount="0" totalsRowShown="0">
  <x:tableColumns count="2">
    <x:tableColumn id="1" name="项目"/>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4c116057534aa2" /></Relationships>
</file>

<file path=xl/worksheets/_rels/sheet2.xml.rels>&#65279;<?xml version="1.0" encoding="utf-8"?><Relationships xmlns="http://schemas.openxmlformats.org/package/2006/relationships"><Relationship Type="http://schemas.openxmlformats.org/officeDocument/2006/relationships/table" Target="/xl/tables/table2.xml" Id="Rd31fcff2bf6c4c40" /></Relationships>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26.25" hidden="0" customWidth="1"/>
    <x:col min="3" max="3" width="13.75" hidden="0" customWidth="1"/>
    <x:col min="4" max="4" width="23.75" hidden="0" customWidth="1"/>
    <x:col min="5" max="5" width="23.75" hidden="0" customWidth="1"/>
    <x:col min="6" max="6" width="23.75" hidden="0" customWidth="1"/>
    <x:col min="7" max="7" width="13.75" hidden="0" customWidth="1"/>
    <x:col min="8" max="8" width="11.25" hidden="0" customWidth="1"/>
    <x:col min="9" max="9" width="35" hidden="0" customWidth="1"/>
    <x:col min="10" max="10" width="35" hidden="0" customWidth="1"/>
    <x:col min="11" max="11" width="41.25" hidden="0" customWidth="1"/>
    <x:col min="12" max="12" width="41.25" hidden="0" customWidth="1"/>
    <x:col min="13" max="13" width="41.25" hidden="0" customWidth="1"/>
    <x:col min="14" max="14" width="22.5" hidden="0" customWidth="1"/>
    <x:col min="15" max="15" width="18.75" hidden="0" customWidth="1"/>
    <x:col min="16" max="16" width="22.5" hidden="0" customWidth="1"/>
    <x:col min="17" max="17" width="45" hidden="0" customWidth="1"/>
    <x:col min="18" max="18" width="23.75" hidden="0" customWidth="1"/>
    <x:col min="19" max="19" width="37.5" hidden="0" customWidth="1"/>
    <x:col min="20" max="20" width="30" hidden="0" customWidth="1"/>
    <x:col min="21" max="21" width="22.5" hidden="0" customWidth="1"/>
    <x:col min="22" max="22" width="52.5" hidden="0" customWidth="1"/>
    <x:col min="23" max="23" width="11.25" hidden="0" customWidth="1"/>
    <x:col min="24" max="24" width="52.5" hidden="0" customWidth="1"/>
    <x:col min="25" max="25" width="67.5" hidden="0" customWidth="1"/>
    <x:col min="26" max="26" width="67.5" hidden="0" customWidth="1"/>
    <x:col min="27" max="27" width="67.5" hidden="0" customWidth="1"/>
    <x:col min="28" max="28" width="72.5" hidden="0" customWidth="1"/>
    <x:col min="29" max="29" width="77.5" hidden="0" customWidth="1"/>
    <x:col min="30" max="30" width="187.5" hidden="0" customWidth="1"/>
    <x:col min="31" max="31" width="187.5" hidden="0" customWidth="1"/>
    <x:col min="32" max="32" width="15" hidden="0" customWidth="1"/>
    <x:col min="33" max="33" width="10" hidden="0" customWidth="1"/>
  </x:cols>
  <x:sheetData>
    <x:row r="1" ht="33" customHeight="1">
      <x:c r="A1" s="6" t="str">
        <x:v>query_id</x:v>
      </x:c>
      <x:c r="B1" s="6" t="str">
        <x:v>answer_group_id</x:v>
      </x:c>
      <x:c r="C1" s="6" t="str">
        <x:v>scenario_id</x:v>
      </x:c>
      <x:c r="D1" s="6" t="str">
        <x:v>scenario_label</x:v>
      </x:c>
      <x:c r="E1" s="6" t="str">
        <x:v>evaluation_track</x:v>
      </x:c>
      <x:c r="F1" s="6" t="str">
        <x:v>query_type</x:v>
      </x:c>
      <x:c r="G1" s="6" t="str">
        <x:v>dataset_partition</x:v>
      </x:c>
      <x:c r="H1" s="6" t="str">
        <x:v>difficulty_level</x:v>
      </x:c>
      <x:c r="I1" s="6" t="str">
        <x:v>source_task_ids</x:v>
      </x:c>
      <x:c r="J1" s="6" t="str">
        <x:v>current_context_ids</x:v>
      </x:c>
      <x:c r="K1" s="6" t="str">
        <x:v>required_memory_ids</x:v>
      </x:c>
      <x:c r="L1" s="6" t="str">
        <x:v>candidate_memory_ids</x:v>
      </x:c>
      <x:c r="M1" s="6" t="str">
        <x:v>forbidden_memory_ids</x:v>
      </x:c>
      <x:c r="N1" s="6" t="str">
        <x:v>target_content_types</x:v>
      </x:c>
      <x:c r="O1" s="6" t="str">
        <x:v>target_memory_types</x:v>
      </x:c>
      <x:c r="P1" s="6" t="str">
        <x:v>apps_involved</x:v>
      </x:c>
      <x:c r="Q1" s="6" t="str">
        <x:v>workflow_steps_json</x:v>
      </x:c>
      <x:c r="R1" s="6" t="str">
        <x:v>handoff_artifacts_json</x:v>
      </x:c>
      <x:c r="S1" s="6" t="str">
        <x:v>expected_action_keys</x:v>
      </x:c>
      <x:c r="T1" s="6" t="str">
        <x:v>target_objects</x:v>
      </x:c>
      <x:c r="U1" s="6" t="str">
        <x:v>decision_class</x:v>
      </x:c>
      <x:c r="V1" s="6" t="str">
        <x:v>scoring_points_json</x:v>
      </x:c>
      <x:c r="W1" s="6" t="str">
        <x:v>max_score</x:v>
      </x:c>
      <x:c r="X1" s="12" t="str">
        <x:v>query_text</x:v>
      </x:c>
      <x:c r="Y1" s="12" t="str">
        <x:v>required_memory_texts</x:v>
      </x:c>
      <x:c r="Z1" s="12" t="str">
        <x:v>candidate_memory_texts</x:v>
      </x:c>
      <x:c r="AA1" s="12" t="str">
        <x:v>forbidden_memory_texts</x:v>
      </x:c>
      <x:c r="AB1" s="12" t="str">
        <x:v>expected_conclusion</x:v>
      </x:c>
      <x:c r="AC1" s="12" t="str">
        <x:v>expected_operation_text</x:v>
      </x:c>
      <x:c r="AD1" s="12" t="str">
        <x:v>answer_reasoning</x:v>
      </x:c>
      <x:c r="AE1" s="12" t="str">
        <x:v>scoring_rubric_text</x:v>
      </x:c>
      <x:c r="AF1" s="18" t="str">
        <x:v>status</x:v>
      </x:c>
      <x:c r="AG1" s="18" t="str">
        <x:v>rank</x:v>
      </x:c>
    </x:row>
    <x:row r="2" ht="175.5" customHeight="1">
      <x:c r="A2" s="32" t="str">
        <x:v>01b269ae-2111-4a07-81fd-3fcd711993b0_HQ1</x:v>
      </x:c>
      <x:c r="B2" s="33" t="str">
        <x:v>SG_TASK_01b269ae-2111-4a07-81fd-3fcd711993b0</x:v>
      </x:c>
      <x:c r="C2" s="33" t="str">
        <x:v>01b269ae-2111-4a07-81fd-3fcd711993b0</x:v>
      </x:c>
      <x:c r="D2" s="33" t="str">
        <x:v>Student_Level_Fill_Blank.xlsx</x:v>
      </x:c>
      <x:c r="E2" s="33" t="str">
        <x:v>single_memory</x:v>
      </x:c>
      <x:c r="F2" s="33" t="str">
        <x:v>human_context_explicit</x:v>
      </x:c>
      <x:c r="G2" s="33" t="str">
        <x:v>train</x:v>
      </x:c>
      <x:c r="H2" s="33" t="str">
        <x:v>简单</x:v>
      </x:c>
      <x:c r="I2" s="33" t="str">
        <x:v>01b269ae-2111-4a07-81fd-3fcd711993b0</x:v>
      </x:c>
      <x:c r="J2" s="33" t="str">
        <x:v>CTX_01b269ae-2111-4a07-81fd-3fcd711993b0</x:v>
      </x:c>
      <x:c r="K2" s="33" t="str">
        <x:v>STM_01b269ae-2111-4a07-81fd-3fcd711993b0</x:v>
      </x:c>
      <x:c r="L2" s="33" t="str"/>
      <x:c r="M2" s="33" t="str"/>
      <x:c r="N2" s="33" t="str">
        <x:v>工作流程</x:v>
      </x:c>
      <x:c r="O2" s="33" t="str">
        <x:v>短期</x:v>
      </x:c>
      <x:c r="P2" s="33" t="str">
        <x:v>["libreoffice_calc"]</x:v>
      </x:c>
      <x:c r="Q2" s="33" t="str">
        <x:v>[{"step_id":"S1","app":"libreoffice_calc","action_key":"fill_blank_from_above","input_artifacts":["Student_Level_Fill_Blank.xlsx"],"output_artifacts":["Student_Level_Fill_Blank.xlsx"],"depends_on":[]}]</x:v>
      </x:c>
      <x:c r="R2" s="33" t="str">
        <x:v>[]</x:v>
      </x:c>
      <x:c r="S2" s="33" t="str">
        <x:v>fill_blank_from_above</x:v>
      </x:c>
      <x:c r="T2" s="33" t="str">
        <x:v>Student_Level_Fill_Blank.xlsx</x:v>
      </x:c>
      <x:c r="U2" s="33" t="str">
        <x:v>retrieve_and_execute</x:v>
      </x:c>
      <x:c r="V2" s="33" t="str">
        <x:v>[{"point_id":"P1","description":"主要处理方式与预期动作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x:v>
      </x:c>
      <x:c r="W2" s="33" t="str">
        <x:v>1.00</x:v>
      </x:c>
      <x:c r="X2" s="38" t="str">
        <x:v>我正在整理 Student_Level_Fill_Blank.xlsx，B1:E30 还有些空着。按我之前处理这份表的办法补完整，其他区域别动。</x:v>
      </x:c>
      <x:c r="Y2" s="38" t="str">
        <x:v>第1条记忆（短期/工作流程）：处理 Student_Level_Fill_Blank.xlsx 时，将 B1:E30 内的空白单元格填成其上方单元格的值，并保持其他区域不变。关键约束：仅处理 B1:E30；不修改其他区域，即使其他区域也为空白。</x:v>
      </x:c>
      <x:c r="Z2" s="38" t="str">
        <x:v>不适用：当前题目不存在需要用户进一步选择的候选记忆。</x:v>
      </x:c>
      <x:c r="AA2" s="38" t="str">
        <x:v>不适用：当前题目没有指定需要排除的冲突或禁止记忆。</x:v>
      </x:c>
      <x:c r="AB2" s="38" t="str">
        <x:v>应执行以下操作：处理 Student_Level_Fill_Blank.xlsx 时，将 B1:E30 内的空白单元格填成其上方单元格的值，并保持其他区域不变。</x:v>
      </x:c>
      <x:c r="AC2" s="38" t="str">
        <x:v>第1项实际操作：处理 Student_Level_Fill_Blank.xlsx 时，将 B1:E30 内的空白单元格填成其上方单元格的值，并保持其他区域不变。执行时必须满足：仅处理 B1:E30；不修改其他区域，即使其他区域也为空白。</x:v>
      </x:c>
      <x:c r="AD2" s="38" t="str">
        <x:v>用户的完整请求是：“我正在整理 Student_Level_Fill_Blank.xlsx，B1:E30 还有些空着。按我之前处理这份表的办法补完整，其他区域别动。”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x:v>
      </x:c>
      <x:c r="AE2" s="38"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2" s="50" t="str">
        <x:v>not_pass</x:v>
      </x:c>
      <x:c r="AG2" s="50" t="n">
        <x:v>0</x:v>
      </x:c>
    </x:row>
    <x:row r="3" ht="175.5" customHeight="1">
      <x:c r="A3" s="35" t="str">
        <x:v>01b269ae-2111-4a07-81fd-3fcd711993b0_HQ2</x:v>
      </x:c>
      <x:c r="B3" s="36" t="str">
        <x:v>SG_TASK_01b269ae-2111-4a07-81fd-3fcd711993b0</x:v>
      </x:c>
      <x:c r="C3" s="36" t="str">
        <x:v>01b269ae-2111-4a07-81fd-3fcd711993b0</x:v>
      </x:c>
      <x:c r="D3" s="36" t="str">
        <x:v>Student_Level_Fill_Blank.xlsx</x:v>
      </x:c>
      <x:c r="E3" s="36" t="str">
        <x:v>single_memory</x:v>
      </x:c>
      <x:c r="F3" s="36" t="str">
        <x:v>human_goal_oriented</x:v>
      </x:c>
      <x:c r="G3" s="36" t="str">
        <x:v>train</x:v>
      </x:c>
      <x:c r="H3" s="36" t="str">
        <x:v>中等</x:v>
      </x:c>
      <x:c r="I3" s="36" t="str">
        <x:v>01b269ae-2111-4a07-81fd-3fcd711993b0</x:v>
      </x:c>
      <x:c r="J3" s="36" t="str">
        <x:v>CTX_01b269ae-2111-4a07-81fd-3fcd711993b0</x:v>
      </x:c>
      <x:c r="K3" s="36" t="str">
        <x:v>STM_01b269ae-2111-4a07-81fd-3fcd711993b0</x:v>
      </x:c>
      <x:c r="L3" s="36" t="str"/>
      <x:c r="M3" s="36" t="str"/>
      <x:c r="N3" s="36" t="str">
        <x:v>工作流程</x:v>
      </x:c>
      <x:c r="O3" s="36" t="str">
        <x:v>短期</x:v>
      </x:c>
      <x:c r="P3" s="36" t="str">
        <x:v>["libreoffice_calc"]</x:v>
      </x:c>
      <x:c r="Q3" s="36" t="str">
        <x:v>[{"step_id":"S1","app":"libreoffice_calc","action_key":"fill_blank_from_above","input_artifacts":["Student_Level_Fill_Blank.xlsx"],"output_artifacts":["Student_Level_Fill_Blank.xlsx"],"depends_on":[]}]</x:v>
      </x:c>
      <x:c r="R3" s="36" t="str">
        <x:v>[]</x:v>
      </x:c>
      <x:c r="S3" s="36" t="str">
        <x:v>fill_blank_from_above</x:v>
      </x:c>
      <x:c r="T3" s="36" t="str">
        <x:v>Student_Level_Fill_Blank.xlsx</x:v>
      </x:c>
      <x:c r="U3" s="36" t="str">
        <x:v>retrieve_and_execute</x:v>
      </x:c>
      <x:c r="V3" s="36" t="str">
        <x:v>[{"point_id":"P1","description":"主要处理方式与预期动作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x:v>
      </x:c>
      <x:c r="W3" s="36" t="str">
        <x:v>1.00</x:v>
      </x:c>
      <x:c r="X3" s="39" t="str">
        <x:v>这份学生等级表马上要交了，B到E列前30行有些记录断了，照上次的规则接上，表里其他空白不用管。</x:v>
      </x:c>
      <x:c r="Y3" s="39" t="str">
        <x:v>第1条记忆（短期/工作流程）：处理 Student_Level_Fill_Blank.xlsx 时，将 B1:E30 内的空白单元格填成其上方单元格的值，并保持其他区域不变。关键约束：仅处理 B1:E30；不修改其他区域，即使其他区域也为空白。</x:v>
      </x:c>
      <x:c r="Z3" s="39" t="str">
        <x:v>不适用：当前题目不存在需要用户进一步选择的候选记忆。</x:v>
      </x:c>
      <x:c r="AA3" s="39" t="str">
        <x:v>不适用：当前题目没有指定需要排除的冲突或禁止记忆。</x:v>
      </x:c>
      <x:c r="AB3" s="39" t="str">
        <x:v>应执行以下操作：处理 Student_Level_Fill_Blank.xlsx 时，将 B1:E30 内的空白单元格填成其上方单元格的值，并保持其他区域不变。</x:v>
      </x:c>
      <x:c r="AC3" s="39" t="str">
        <x:v>第1项实际操作：处理 Student_Level_Fill_Blank.xlsx 时，将 B1:E30 内的空白单元格填成其上方单元格的值，并保持其他区域不变。执行时必须满足：仅处理 B1:E30；不修改其他区域，即使其他区域也为空白。</x:v>
      </x:c>
      <x:c r="AD3" s="39" t="str">
        <x:v>用户的完整请求是：“这份学生等级表马上要交了，B到E列前30行有些记录断了，照上次的规则接上，表里其他空白不用管。”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x:v>
      </x:c>
      <x:c r="AE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3" s="50" t="str">
        <x:v>not_pass</x:v>
      </x:c>
      <x:c r="AG3" s="50" t="n">
        <x:v>0</x:v>
      </x:c>
    </x:row>
    <x:row r="4" ht="175.5" customHeight="1">
      <x:c r="A4" s="35" t="str">
        <x:v>01b269ae-2111-4a07-81fd-3fcd711993b0_HQ3</x:v>
      </x:c>
      <x:c r="B4" s="36" t="str">
        <x:v>SG_TASK_01b269ae-2111-4a07-81fd-3fcd711993b0</x:v>
      </x:c>
      <x:c r="C4" s="36" t="str">
        <x:v>01b269ae-2111-4a07-81fd-3fcd711993b0</x:v>
      </x:c>
      <x:c r="D4" s="36" t="str">
        <x:v>Student_Level_Fill_Blank.xlsx</x:v>
      </x:c>
      <x:c r="E4" s="36" t="str">
        <x:v>single_memory</x:v>
      </x:c>
      <x:c r="F4" s="36" t="str">
        <x:v>contextual_ellipsis</x:v>
      </x:c>
      <x:c r="G4" s="36" t="str">
        <x:v>train</x:v>
      </x:c>
      <x:c r="H4" s="36" t="str">
        <x:v>中等</x:v>
      </x:c>
      <x:c r="I4" s="36" t="str">
        <x:v>01b269ae-2111-4a07-81fd-3fcd711993b0</x:v>
      </x:c>
      <x:c r="J4" s="36" t="str">
        <x:v>CTX_01b269ae-2111-4a07-81fd-3fcd711993b0</x:v>
      </x:c>
      <x:c r="K4" s="36" t="str">
        <x:v>STM_01b269ae-2111-4a07-81fd-3fcd711993b0</x:v>
      </x:c>
      <x:c r="L4" s="36" t="str"/>
      <x:c r="M4" s="36" t="str"/>
      <x:c r="N4" s="36" t="str">
        <x:v>工作流程</x:v>
      </x:c>
      <x:c r="O4" s="36" t="str">
        <x:v>短期</x:v>
      </x:c>
      <x:c r="P4" s="36" t="str">
        <x:v>["libreoffice_calc"]</x:v>
      </x:c>
      <x:c r="Q4" s="36" t="str">
        <x:v>[{"step_id":"S1","app":"libreoffice_calc","action_key":"fill_blank_from_above","input_artifacts":["Student_Level_Fill_Blank.xlsx"],"output_artifacts":["Student_Level_Fill_Blank.xlsx"],"depends_on":[]}]</x:v>
      </x:c>
      <x:c r="R4" s="36" t="str">
        <x:v>[]</x:v>
      </x:c>
      <x:c r="S4" s="36" t="str">
        <x:v>fill_blank_from_above</x:v>
      </x:c>
      <x:c r="T4" s="36" t="str">
        <x:v>Student_Level_Fill_Blank.xlsx</x:v>
      </x:c>
      <x:c r="U4" s="36" t="str">
        <x:v>retrieve_and_execute</x:v>
      </x:c>
      <x:c r="V4" s="36" t="str">
        <x:v>[{"point_id":"P1","description":"主要处理方式与预期动作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x:v>
      </x:c>
      <x:c r="W4" s="36" t="str">
        <x:v>1.00</x:v>
      </x:c>
      <x:c r="X4" s="39" t="str">
        <x:v>我已经把学生等级表打开了。前30行那四列还有漏项，还是沿用之前那套补法，只处理这一块。</x:v>
      </x:c>
      <x:c r="Y4" s="39" t="str">
        <x:v>第1条记忆（短期/工作流程）：处理 Student_Level_Fill_Blank.xlsx 时，将 B1:E30 内的空白单元格填成其上方单元格的值，并保持其他区域不变。关键约束：仅处理 B1:E30；不修改其他区域，即使其他区域也为空白。</x:v>
      </x:c>
      <x:c r="Z4" s="39" t="str">
        <x:v>不适用：当前题目不存在需要用户进一步选择的候选记忆。</x:v>
      </x:c>
      <x:c r="AA4" s="39" t="str">
        <x:v>不适用：当前题目没有指定需要排除的冲突或禁止记忆。</x:v>
      </x:c>
      <x:c r="AB4" s="39" t="str">
        <x:v>应执行以下操作：处理 Student_Level_Fill_Blank.xlsx 时，将 B1:E30 内的空白单元格填成其上方单元格的值，并保持其他区域不变。</x:v>
      </x:c>
      <x:c r="AC4" s="39" t="str">
        <x:v>第1项实际操作：处理 Student_Level_Fill_Blank.xlsx 时，将 B1:E30 内的空白单元格填成其上方单元格的值，并保持其他区域不变。执行时必须满足：仅处理 B1:E30；不修改其他区域，即使其他区域也为空白。</x:v>
      </x:c>
      <x:c r="AD4" s="39" t="str">
        <x:v>用户的完整请求是：“我已经把学生等级表打开了。前30行那四列还有漏项，还是沿用之前那套补法，只处理这一块。”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x:v>
      </x:c>
      <x:c r="AE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 s="50" t="str">
        <x:v>not_pass</x:v>
      </x:c>
      <x:c r="AG4" s="50" t="n">
        <x:v>0</x:v>
      </x:c>
    </x:row>
    <x:row r="5" ht="175.5" customHeight="1">
      <x:c r="A5" s="35" t="str">
        <x:v>01b269ae-2111-4a07-81fd-3fcd711993b0_HQ4</x:v>
      </x:c>
      <x:c r="B5" s="36" t="str">
        <x:v>SG_TASK_01b269ae-2111-4a07-81fd-3fcd711993b0</x:v>
      </x:c>
      <x:c r="C5" s="36" t="str">
        <x:v>01b269ae-2111-4a07-81fd-3fcd711993b0</x:v>
      </x:c>
      <x:c r="D5" s="36" t="str">
        <x:v>Student_Level_Fill_Blank.xlsx</x:v>
      </x:c>
      <x:c r="E5" s="36" t="str">
        <x:v>single_memory</x:v>
      </x:c>
      <x:c r="F5" s="36" t="str">
        <x:v>low_overlap_paraphrase</x:v>
      </x:c>
      <x:c r="G5" s="36" t="str">
        <x:v>train</x:v>
      </x:c>
      <x:c r="H5" s="36" t="str">
        <x:v>困难</x:v>
      </x:c>
      <x:c r="I5" s="36" t="str">
        <x:v>01b269ae-2111-4a07-81fd-3fcd711993b0</x:v>
      </x:c>
      <x:c r="J5" s="36" t="str">
        <x:v>CTX_01b269ae-2111-4a07-81fd-3fcd711993b0</x:v>
      </x:c>
      <x:c r="K5" s="36" t="str">
        <x:v>STM_01b269ae-2111-4a07-81fd-3fcd711993b0</x:v>
      </x:c>
      <x:c r="L5" s="36" t="str"/>
      <x:c r="M5" s="36" t="str"/>
      <x:c r="N5" s="36" t="str">
        <x:v>工作流程</x:v>
      </x:c>
      <x:c r="O5" s="36" t="str">
        <x:v>短期</x:v>
      </x:c>
      <x:c r="P5" s="36" t="str">
        <x:v>["libreoffice_calc"]</x:v>
      </x:c>
      <x:c r="Q5" s="36" t="str">
        <x:v>[{"step_id":"S1","app":"libreoffice_calc","action_key":"fill_blank_from_above","input_artifacts":["Student_Level_Fill_Blank.xlsx"],"output_artifacts":["Student_Level_Fill_Blank.xlsx"],"depends_on":[]}]</x:v>
      </x:c>
      <x:c r="R5" s="36" t="str">
        <x:v>[]</x:v>
      </x:c>
      <x:c r="S5" s="36" t="str">
        <x:v>fill_blank_from_above</x:v>
      </x:c>
      <x:c r="T5" s="36" t="str">
        <x:v>Student_Level_Fill_Blank.xlsx</x:v>
      </x:c>
      <x:c r="U5" s="36" t="str">
        <x:v>retrieve_and_execute</x:v>
      </x:c>
      <x:c r="V5" s="36" t="str">
        <x:v>[{"point_id":"P1","description":"主要处理方式与预期动作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x:v>
      </x:c>
      <x:c r="W5" s="36" t="str">
        <x:v>1.00</x:v>
      </x:c>
      <x:c r="X5" s="39" t="str">
        <x:v>我准备把这份等级数据发出去，发现中间有几格没填。按之前给这份文件收尾的方式补上，别顺手整理其他空白。</x:v>
      </x:c>
      <x:c r="Y5" s="39" t="str">
        <x:v>第1条记忆（短期/工作流程）：处理 Student_Level_Fill_Blank.xlsx 时，将 B1:E30 内的空白单元格填成其上方单元格的值，并保持其他区域不变。关键约束：仅处理 B1:E30；不修改其他区域，即使其他区域也为空白。</x:v>
      </x:c>
      <x:c r="Z5" s="39" t="str">
        <x:v>不适用：当前题目不存在需要用户进一步选择的候选记忆。</x:v>
      </x:c>
      <x:c r="AA5" s="39" t="str">
        <x:v>不适用：当前题目没有指定需要排除的冲突或禁止记忆。</x:v>
      </x:c>
      <x:c r="AB5" s="39" t="str">
        <x:v>应执行以下操作：处理 Student_Level_Fill_Blank.xlsx 时，将 B1:E30 内的空白单元格填成其上方单元格的值，并保持其他区域不变。</x:v>
      </x:c>
      <x:c r="AC5" s="39" t="str">
        <x:v>第1项实际操作：处理 Student_Level_Fill_Blank.xlsx 时，将 B1:E30 内的空白单元格填成其上方单元格的值，并保持其他区域不变。执行时必须满足：仅处理 B1:E30；不修改其他区域，即使其他区域也为空白。</x:v>
      </x:c>
      <x:c r="AD5" s="39" t="str">
        <x:v>用户的完整请求是：“我准备把这份等级数据发出去，发现中间有几格没填。按之前给这份文件收尾的方式补上，别顺手整理其他空白。”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x:v>
      </x:c>
      <x:c r="AE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5" s="50" t="str">
        <x:v>not_pass</x:v>
      </x:c>
      <x:c r="AG5" s="50" t="n">
        <x:v>0</x:v>
      </x:c>
    </x:row>
    <x:row r="6" ht="175.5" customHeight="1">
      <x:c r="A6" s="35" t="str">
        <x:v>01b269ae-2111-4a07-81fd-3fcd711993b0_HQ5</x:v>
      </x:c>
      <x:c r="B6" s="36" t="str">
        <x:v>SG_TASK_01b269ae-2111-4a07-81fd-3fcd711993b0</x:v>
      </x:c>
      <x:c r="C6" s="36" t="str">
        <x:v>01b269ae-2111-4a07-81fd-3fcd711993b0</x:v>
      </x:c>
      <x:c r="D6" s="36" t="str">
        <x:v>Student_Level_Fill_Blank.xlsx</x:v>
      </x:c>
      <x:c r="E6" s="36" t="str">
        <x:v>single_memory</x:v>
      </x:c>
      <x:c r="F6" s="36" t="str">
        <x:v>human_constraint_emphasis</x:v>
      </x:c>
      <x:c r="G6" s="36" t="str">
        <x:v>train</x:v>
      </x:c>
      <x:c r="H6" s="36" t="str">
        <x:v>困难</x:v>
      </x:c>
      <x:c r="I6" s="36" t="str">
        <x:v>01b269ae-2111-4a07-81fd-3fcd711993b0</x:v>
      </x:c>
      <x:c r="J6" s="36" t="str">
        <x:v>CTX_01b269ae-2111-4a07-81fd-3fcd711993b0</x:v>
      </x:c>
      <x:c r="K6" s="36" t="str">
        <x:v>STM_01b269ae-2111-4a07-81fd-3fcd711993b0</x:v>
      </x:c>
      <x:c r="L6" s="36" t="str"/>
      <x:c r="M6" s="36" t="str"/>
      <x:c r="N6" s="36" t="str">
        <x:v>工作流程</x:v>
      </x:c>
      <x:c r="O6" s="36" t="str">
        <x:v>短期</x:v>
      </x:c>
      <x:c r="P6" s="36" t="str">
        <x:v>["libreoffice_calc"]</x:v>
      </x:c>
      <x:c r="Q6" s="36" t="str">
        <x:v>[{"step_id":"S1","app":"libreoffice_calc","action_key":"fill_blank_from_above","input_artifacts":["Student_Level_Fill_Blank.xlsx"],"output_artifacts":["Student_Level_Fill_Blank.xlsx"],"depends_on":[]}]</x:v>
      </x:c>
      <x:c r="R6" s="36" t="str">
        <x:v>[]</x:v>
      </x:c>
      <x:c r="S6" s="36" t="str">
        <x:v>fill_blank_from_above</x:v>
      </x:c>
      <x:c r="T6" s="36" t="str">
        <x:v>Student_Level_Fill_Blank.xlsx</x:v>
      </x:c>
      <x:c r="U6" s="36" t="str">
        <x:v>retrieve_and_execute</x:v>
      </x:c>
      <x:c r="V6" s="36" t="str">
        <x:v>[{"point_id":"P1","description":"主要处理方式与预期动作 fill_blank_from_above 语义一致","weight":0.4,"evidence_memory_ids":["STM_01b269ae-2111-4a07-81fd-3fcd711993b0"]},{"point_id":"P2","description":"正确定位目标对象 Student_Level_Fill_Blank.xlsx","weight":0.2,"evidence_memory_ids":["STM_01b269ae-2111-4a07-81fd-3fcd711993b0"]},{"point_id":"P3","description":"满足关键条件：仅处理 B1:E30；不修改其他区域，即使其他区域也为空白","weight":0.3,"evidence_memory_ids":["STM_01b269ae-2111-4a07-81fd-3fcd711993b0"]},{"point_id":"P4","description":"不增加无记忆证据支持的操作","weight":0.1,"evidence_memory_ids":["STM_01b269ae-2111-4a07-81fd-3fcd711993b0"]}]</x:v>
      </x:c>
      <x:c r="W6" s="36" t="str">
        <x:v>1.00</x:v>
      </x:c>
      <x:c r="X6" s="39" t="str">
        <x:v>这份表又有几处断档了，还是老办法补齐，其他地方保持原样。</x:v>
      </x:c>
      <x:c r="Y6" s="39" t="str">
        <x:v>第1条记忆（短期/工作流程）：处理 Student_Level_Fill_Blank.xlsx 时，将 B1:E30 内的空白单元格填成其上方单元格的值，并保持其他区域不变。关键约束：仅处理 B1:E30；不修改其他区域，即使其他区域也为空白。</x:v>
      </x:c>
      <x:c r="Z6" s="39" t="str">
        <x:v>不适用：当前题目不存在需要用户进一步选择的候选记忆。</x:v>
      </x:c>
      <x:c r="AA6" s="39" t="str">
        <x:v>不适用：当前题目没有指定需要排除的冲突或禁止记忆。</x:v>
      </x:c>
      <x:c r="AB6" s="39" t="str">
        <x:v>应执行以下操作：处理 Student_Level_Fill_Blank.xlsx 时，将 B1:E30 内的空白单元格填成其上方单元格的值，并保持其他区域不变。</x:v>
      </x:c>
      <x:c r="AC6" s="39" t="str">
        <x:v>第1项实际操作：处理 Student_Level_Fill_Blank.xlsx 时，将 B1:E30 内的空白单元格填成其上方单元格的值，并保持其他区域不变。执行时必须满足：仅处理 B1:E30；不修改其他区域，即使其他区域也为空白。</x:v>
      </x:c>
      <x:c r="AD6" s="39" t="str">
        <x:v>用户的完整请求是：“这份表又有几处断档了，还是老办法补齐，其他地方保持原样。” 第1个当前上下文：Student_Level_Fill_Blank.xlsx 已在 LibreOffice Calc 中打开。 当前请求是在已有办公上下文中继续、复用或重新强调既有处理方式。与该请求唯一对应的完整必需记忆如下：
第1条记忆（短期/工作流程）：处理 Student_Level_Fill_Blank.xlsx 时，将 B1:E30 内的空白单元格填成其上方单元格的值，并保持其他区域不变。关键约束：仅处理 B1:E30；不修改其他区域，即使其他区域也为空白。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中出现的少量词语临时猜测，也不能加入记忆证据没有支持的额外修改。最终应给出的完整结论是：“应执行以下操作：处理 Student_Level_Fill_Blank.xlsx 时，将 B1:E30 内的空白单元格填成其上方单元格的值，并保持其他区域不变。”</x:v>
      </x:c>
      <x:c r="AE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第2个得分点（0.20分）：正确定位目标对象 Student_Level_Fill_Blank.xlsx。该得分点所依据的完整证据为：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第3个得分点（0.30分）：满足关键条件：仅处理 B1:E30；不修改其他区域，即使其他区域也为空白。该得分点所依据的完整证据为：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第4个得分点（0.10分）：不增加无记忆证据支持的操作。该得分点所依据的完整证据为：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6" s="50" t="str">
        <x:v>not_pass</x:v>
      </x:c>
      <x:c r="AG6" s="50" t="n">
        <x:v>0</x:v>
      </x:c>
    </x:row>
    <x:row r="7" ht="216" customHeight="1">
      <x:c r="A7" s="35" t="str">
        <x:v>0326d92d-d218-48a8-9ca1-981cd6d064c7_HQ1</x:v>
      </x:c>
      <x:c r="B7" s="36" t="str">
        <x:v>SG_TASK_0326d92d-d218-48a8-9ca1-981cd6d064c7</x:v>
      </x:c>
      <x:c r="C7" s="36" t="str">
        <x:v>0326d92d-d218-48a8-9ca1-981cd6d064c7</x:v>
      </x:c>
      <x:c r="D7" s="36" t="str">
        <x:v>SalesRep.xlsx</x:v>
      </x:c>
      <x:c r="E7" s="36" t="str">
        <x:v>single_memory</x:v>
      </x:c>
      <x:c r="F7" s="36" t="str">
        <x:v>human_context_explicit</x:v>
      </x:c>
      <x:c r="G7" s="36" t="str">
        <x:v>train</x:v>
      </x:c>
      <x:c r="H7" s="36" t="str">
        <x:v>简单</x:v>
      </x:c>
      <x:c r="I7" s="36" t="str">
        <x:v>0326d92d-d218-48a8-9ca1-981cd6d064c7</x:v>
      </x:c>
      <x:c r="J7" s="36" t="str">
        <x:v>CTX_0326d92d-d218-48a8-9ca1-981cd6d064c7</x:v>
      </x:c>
      <x:c r="K7" s="36" t="str">
        <x:v>MTM_0326d92d-d218-48a8-9ca1-981cd6d064c7</x:v>
      </x:c>
      <x:c r="L7" s="36" t="str"/>
      <x:c r="M7" s="36" t="str">
        <x:v>MTM_0a2e43bf-b26c-4631-a966-af9dfa12c9e5|MTM_26a8440e-c166-4c50-aef4-bfb77314b46b</x:v>
      </x:c>
      <x:c r="N7" s="36" t="str">
        <x:v>可复用模板</x:v>
      </x:c>
      <x:c r="O7" s="36" t="str">
        <x:v>中期</x:v>
      </x:c>
      <x:c r="P7" s="36" t="str">
        <x:v>["libreoffice_calc"]</x:v>
      </x:c>
      <x:c r="Q7" s="36" t="str">
        <x:v>[{"step_id":"S1","app":"libreoffice_calc","action_key":"build_total_and_growth_charts","input_artifacts":["SalesRep.xlsx"],"output_artifacts":["SalesRep.xlsx"],"depends_on":[]}]</x:v>
      </x:c>
      <x:c r="R7" s="36" t="str">
        <x:v>[]</x:v>
      </x:c>
      <x:c r="S7" s="36" t="str">
        <x:v>build_total_and_growth_charts</x:v>
      </x:c>
      <x:c r="T7" s="36" t="str">
        <x:v>SalesRep.xlsx</x:v>
      </x:c>
      <x:c r="U7" s="36" t="str">
        <x:v>retrieve_and_execute</x:v>
      </x:c>
      <x:c r="V7" s="36" t="str">
        <x:v>[{"point_id":"P1","description":"主要处理方式与预期动作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x:v>
      </x:c>
      <x:c r="W7" s="36" t="str">
        <x:v>1.00</x:v>
      </x:c>
      <x:c r="X7" s="39" t="str">
        <x:v>我在整理 SalesRep.xlsx 的月度分析，按上次“Total+Growth”那套做：总额看柱状，环比看折线，1月别放进增长图。</x:v>
      </x:c>
      <x:c r="Y7"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x:v>
      </x:c>
      <x:c r="Z7" s="39" t="str">
        <x:v>不适用：当前题目不存在需要用户进一步选择的候选记忆。</x:v>
      </x:c>
      <x:c r="AA7" s="39" t="str">
        <x:v>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x:v>
      </x:c>
      <x:c r="AB7" s="39" t="str">
        <x:v>应执行以下操作：在 SalesRep.xlsx 下方新增 Total 行计算各月销售总额并制作柱状图，再新增 Growth 行计算 2 月至 6 月环比增长率并制作折线图；增长图不包含 1 月，两个图标题分别使用对应行名。</x:v>
      </x:c>
      <x:c r="AC7"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x:v>
      </x:c>
      <x:c r="AD7" s="39" t="str">
        <x:v>用户的完整请求是：“我在整理 SalesRep.xlsx 的月度分析，按上次“Total+Growth”那套做：总额看柱状，环比看折线，1月别放进增长图。”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x:v>
      </x:c>
      <x:c r="AE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7" s="50" t="str">
        <x:v>not_pass</x:v>
      </x:c>
      <x:c r="AG7" s="50" t="n">
        <x:v>0</x:v>
      </x:c>
    </x:row>
    <x:row r="8" ht="216" customHeight="1">
      <x:c r="A8" s="35" t="str">
        <x:v>0326d92d-d218-48a8-9ca1-981cd6d064c7_HQ2</x:v>
      </x:c>
      <x:c r="B8" s="36" t="str">
        <x:v>SG_TASK_0326d92d-d218-48a8-9ca1-981cd6d064c7</x:v>
      </x:c>
      <x:c r="C8" s="36" t="str">
        <x:v>0326d92d-d218-48a8-9ca1-981cd6d064c7</x:v>
      </x:c>
      <x:c r="D8" s="36" t="str">
        <x:v>SalesRep.xlsx</x:v>
      </x:c>
      <x:c r="E8" s="36" t="str">
        <x:v>single_memory</x:v>
      </x:c>
      <x:c r="F8" s="36" t="str">
        <x:v>human_goal_oriented</x:v>
      </x:c>
      <x:c r="G8" s="36" t="str">
        <x:v>train</x:v>
      </x:c>
      <x:c r="H8" s="36" t="str">
        <x:v>中等</x:v>
      </x:c>
      <x:c r="I8" s="36" t="str">
        <x:v>0326d92d-d218-48a8-9ca1-981cd6d064c7</x:v>
      </x:c>
      <x:c r="J8" s="36" t="str">
        <x:v>CTX_0326d92d-d218-48a8-9ca1-981cd6d064c7</x:v>
      </x:c>
      <x:c r="K8" s="36" t="str">
        <x:v>MTM_0326d92d-d218-48a8-9ca1-981cd6d064c7</x:v>
      </x:c>
      <x:c r="L8" s="36" t="str"/>
      <x:c r="M8" s="36" t="str">
        <x:v>MTM_0a2e43bf-b26c-4631-a966-af9dfa12c9e5|MTM_26a8440e-c166-4c50-aef4-bfb77314b46b</x:v>
      </x:c>
      <x:c r="N8" s="36" t="str">
        <x:v>可复用模板</x:v>
      </x:c>
      <x:c r="O8" s="36" t="str">
        <x:v>中期</x:v>
      </x:c>
      <x:c r="P8" s="36" t="str">
        <x:v>["libreoffice_calc"]</x:v>
      </x:c>
      <x:c r="Q8" s="36" t="str">
        <x:v>[{"step_id":"S1","app":"libreoffice_calc","action_key":"build_total_and_growth_charts","input_artifacts":["SalesRep.xlsx"],"output_artifacts":["SalesRep.xlsx"],"depends_on":[]}]</x:v>
      </x:c>
      <x:c r="R8" s="36" t="str">
        <x:v>[]</x:v>
      </x:c>
      <x:c r="S8" s="36" t="str">
        <x:v>build_total_and_growth_charts</x:v>
      </x:c>
      <x:c r="T8" s="36" t="str">
        <x:v>SalesRep.xlsx</x:v>
      </x:c>
      <x:c r="U8" s="36" t="str">
        <x:v>retrieve_and_execute</x:v>
      </x:c>
      <x:c r="V8" s="36" t="str">
        <x:v>[{"point_id":"P1","description":"主要处理方式与预期动作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x:v>
      </x:c>
      <x:c r="W8" s="36" t="str">
        <x:v>1.00</x:v>
      </x:c>
      <x:c r="X8" s="39" t="str">
        <x:v>销售汇报明天要用，帮我把各月合计和2到6月的环比都整理出来，还是一张柱状图一张折线图，标题沿用行名。</x:v>
      </x:c>
      <x:c r="Y8"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x:v>
      </x:c>
      <x:c r="Z8" s="39" t="str">
        <x:v>不适用：当前题目不存在需要用户进一步选择的候选记忆。</x:v>
      </x:c>
      <x:c r="AA8" s="39" t="str">
        <x:v>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x:v>
      </x:c>
      <x:c r="AB8" s="39" t="str">
        <x:v>应执行以下操作：在 SalesRep.xlsx 下方新增 Total 行计算各月销售总额并制作柱状图，再新增 Growth 行计算 2 月至 6 月环比增长率并制作折线图；增长图不包含 1 月，两个图标题分别使用对应行名。</x:v>
      </x:c>
      <x:c r="AC8"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x:v>
      </x:c>
      <x:c r="AD8" s="39" t="str">
        <x:v>用户的完整请求是：“销售汇报明天要用，帮我把各月合计和2到6月的环比都整理出来，还是一张柱状图一张折线图，标题沿用行名。”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x:v>
      </x:c>
      <x:c r="AE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8" s="50" t="str">
        <x:v>not_pass</x:v>
      </x:c>
      <x:c r="AG8" s="50" t="n">
        <x:v>0</x:v>
      </x:c>
    </x:row>
    <x:row r="9" ht="216" customHeight="1">
      <x:c r="A9" s="35" t="str">
        <x:v>0326d92d-d218-48a8-9ca1-981cd6d064c7_HQ3</x:v>
      </x:c>
      <x:c r="B9" s="36" t="str">
        <x:v>SG_TASK_0326d92d-d218-48a8-9ca1-981cd6d064c7</x:v>
      </x:c>
      <x:c r="C9" s="36" t="str">
        <x:v>0326d92d-d218-48a8-9ca1-981cd6d064c7</x:v>
      </x:c>
      <x:c r="D9" s="36" t="str">
        <x:v>SalesRep.xlsx</x:v>
      </x:c>
      <x:c r="E9" s="36" t="str">
        <x:v>single_memory</x:v>
      </x:c>
      <x:c r="F9" s="36" t="str">
        <x:v>contextual_ellipsis</x:v>
      </x:c>
      <x:c r="G9" s="36" t="str">
        <x:v>train</x:v>
      </x:c>
      <x:c r="H9" s="36" t="str">
        <x:v>中等</x:v>
      </x:c>
      <x:c r="I9" s="36" t="str">
        <x:v>0326d92d-d218-48a8-9ca1-981cd6d064c7</x:v>
      </x:c>
      <x:c r="J9" s="36" t="str">
        <x:v>CTX_0326d92d-d218-48a8-9ca1-981cd6d064c7</x:v>
      </x:c>
      <x:c r="K9" s="36" t="str">
        <x:v>MTM_0326d92d-d218-48a8-9ca1-981cd6d064c7</x:v>
      </x:c>
      <x:c r="L9" s="36" t="str"/>
      <x:c r="M9" s="36" t="str">
        <x:v>MTM_0a2e43bf-b26c-4631-a966-af9dfa12c9e5|MTM_26a8440e-c166-4c50-aef4-bfb77314b46b</x:v>
      </x:c>
      <x:c r="N9" s="36" t="str">
        <x:v>可复用模板</x:v>
      </x:c>
      <x:c r="O9" s="36" t="str">
        <x:v>中期</x:v>
      </x:c>
      <x:c r="P9" s="36" t="str">
        <x:v>["libreoffice_calc"]</x:v>
      </x:c>
      <x:c r="Q9" s="36" t="str">
        <x:v>[{"step_id":"S1","app":"libreoffice_calc","action_key":"build_total_and_growth_charts","input_artifacts":["SalesRep.xlsx"],"output_artifacts":["SalesRep.xlsx"],"depends_on":[]}]</x:v>
      </x:c>
      <x:c r="R9" s="36" t="str">
        <x:v>[]</x:v>
      </x:c>
      <x:c r="S9" s="36" t="str">
        <x:v>build_total_and_growth_charts</x:v>
      </x:c>
      <x:c r="T9" s="36" t="str">
        <x:v>SalesRep.xlsx</x:v>
      </x:c>
      <x:c r="U9" s="36" t="str">
        <x:v>retrieve_and_execute</x:v>
      </x:c>
      <x:c r="V9" s="36" t="str">
        <x:v>[{"point_id":"P1","description":"主要处理方式与预期动作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x:v>
      </x:c>
      <x:c r="W9" s="36" t="str">
        <x:v>1.00</x:v>
      </x:c>
      <x:c r="X9" s="39" t="str">
        <x:v>这个销售表继续做双图吧：规模放 Total 那行，变化放 Growth 那行，增长从2月开始。</x:v>
      </x:c>
      <x:c r="Y9"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x:v>
      </x:c>
      <x:c r="Z9" s="39" t="str">
        <x:v>不适用：当前题目不存在需要用户进一步选择的候选记忆。</x:v>
      </x:c>
      <x:c r="AA9" s="39" t="str">
        <x:v>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x:v>
      </x:c>
      <x:c r="AB9" s="39" t="str">
        <x:v>应执行以下操作：在 SalesRep.xlsx 下方新增 Total 行计算各月销售总额并制作柱状图，再新增 Growth 行计算 2 月至 6 月环比增长率并制作折线图；增长图不包含 1 月，两个图标题分别使用对应行名。</x:v>
      </x:c>
      <x:c r="AC9"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x:v>
      </x:c>
      <x:c r="AD9" s="39" t="str">
        <x:v>用户的完整请求是：“这个销售表继续做双图吧：规模放 Total 那行，变化放 Growth 那行，增长从2月开始。”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x:v>
      </x:c>
      <x:c r="AE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9" s="50" t="str">
        <x:v>not_pass</x:v>
      </x:c>
      <x:c r="AG9" s="50" t="n">
        <x:v>0</x:v>
      </x:c>
    </x:row>
    <x:row r="10" ht="216" customHeight="1">
      <x:c r="A10" s="35" t="str">
        <x:v>0326d92d-d218-48a8-9ca1-981cd6d064c7_HQ4</x:v>
      </x:c>
      <x:c r="B10" s="36" t="str">
        <x:v>SG_TASK_0326d92d-d218-48a8-9ca1-981cd6d064c7</x:v>
      </x:c>
      <x:c r="C10" s="36" t="str">
        <x:v>0326d92d-d218-48a8-9ca1-981cd6d064c7</x:v>
      </x:c>
      <x:c r="D10" s="36" t="str">
        <x:v>SalesRep.xlsx</x:v>
      </x:c>
      <x:c r="E10" s="36" t="str">
        <x:v>single_memory</x:v>
      </x:c>
      <x:c r="F10" s="36" t="str">
        <x:v>low_overlap_paraphrase</x:v>
      </x:c>
      <x:c r="G10" s="36" t="str">
        <x:v>train</x:v>
      </x:c>
      <x:c r="H10" s="36" t="str">
        <x:v>困难</x:v>
      </x:c>
      <x:c r="I10" s="36" t="str">
        <x:v>0326d92d-d218-48a8-9ca1-981cd6d064c7</x:v>
      </x:c>
      <x:c r="J10" s="36" t="str">
        <x:v>CTX_0326d92d-d218-48a8-9ca1-981cd6d064c7</x:v>
      </x:c>
      <x:c r="K10" s="36" t="str">
        <x:v>MTM_0326d92d-d218-48a8-9ca1-981cd6d064c7</x:v>
      </x:c>
      <x:c r="L10" s="36" t="str"/>
      <x:c r="M10" s="36" t="str">
        <x:v>MTM_0a2e43bf-b26c-4631-a966-af9dfa12c9e5|MTM_26a8440e-c166-4c50-aef4-bfb77314b46b</x:v>
      </x:c>
      <x:c r="N10" s="36" t="str">
        <x:v>可复用模板</x:v>
      </x:c>
      <x:c r="O10" s="36" t="str">
        <x:v>中期</x:v>
      </x:c>
      <x:c r="P10" s="36" t="str">
        <x:v>["libreoffice_calc"]</x:v>
      </x:c>
      <x:c r="Q10" s="36" t="str">
        <x:v>[{"step_id":"S1","app":"libreoffice_calc","action_key":"build_total_and_growth_charts","input_artifacts":["SalesRep.xlsx"],"output_artifacts":["SalesRep.xlsx"],"depends_on":[]}]</x:v>
      </x:c>
      <x:c r="R10" s="36" t="str">
        <x:v>[]</x:v>
      </x:c>
      <x:c r="S10" s="36" t="str">
        <x:v>build_total_and_growth_charts</x:v>
      </x:c>
      <x:c r="T10" s="36" t="str">
        <x:v>SalesRep.xlsx</x:v>
      </x:c>
      <x:c r="U10" s="36" t="str">
        <x:v>retrieve_and_execute</x:v>
      </x:c>
      <x:c r="V10" s="36" t="str">
        <x:v>[{"point_id":"P1","description":"主要处理方式与预期动作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x:v>
      </x:c>
      <x:c r="W10" s="36" t="str">
        <x:v>1.00</x:v>
      </x:c>
      <x:c r="X10" s="39" t="str">
        <x:v>领导既想看每月卖了多少，也想看后几个月涨跌得快不快。按之前的版式处理，别把1月塞进环比图。</x:v>
      </x:c>
      <x:c r="Y10"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x:v>
      </x:c>
      <x:c r="Z10" s="39" t="str">
        <x:v>不适用：当前题目不存在需要用户进一步选择的候选记忆。</x:v>
      </x:c>
      <x:c r="AA10" s="39" t="str">
        <x:v>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x:v>
      </x:c>
      <x:c r="AB10" s="39" t="str">
        <x:v>应执行以下操作：在 SalesRep.xlsx 下方新增 Total 行计算各月销售总额并制作柱状图，再新增 Growth 行计算 2 月至 6 月环比增长率并制作折线图；增长图不包含 1 月，两个图标题分别使用对应行名。</x:v>
      </x:c>
      <x:c r="AC10"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x:v>
      </x:c>
      <x:c r="AD10" s="39" t="str">
        <x:v>用户的完整请求是：“领导既想看每月卖了多少，也想看后几个月涨跌得快不快。按之前的版式处理，别把1月塞进环比图。”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x:v>
      </x:c>
      <x:c r="AE1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10" s="50" t="str">
        <x:v>not_pass</x:v>
      </x:c>
      <x:c r="AG10" s="50" t="n">
        <x:v>0</x:v>
      </x:c>
    </x:row>
    <x:row r="11" ht="216" customHeight="1">
      <x:c r="A11" s="35" t="str">
        <x:v>0326d92d-d218-48a8-9ca1-981cd6d064c7_HQ5</x:v>
      </x:c>
      <x:c r="B11" s="36" t="str">
        <x:v>SG_TASK_0326d92d-d218-48a8-9ca1-981cd6d064c7</x:v>
      </x:c>
      <x:c r="C11" s="36" t="str">
        <x:v>0326d92d-d218-48a8-9ca1-981cd6d064c7</x:v>
      </x:c>
      <x:c r="D11" s="36" t="str">
        <x:v>SalesRep.xlsx</x:v>
      </x:c>
      <x:c r="E11" s="36" t="str">
        <x:v>single_memory</x:v>
      </x:c>
      <x:c r="F11" s="36" t="str">
        <x:v>human_constraint_emphasis</x:v>
      </x:c>
      <x:c r="G11" s="36" t="str">
        <x:v>train</x:v>
      </x:c>
      <x:c r="H11" s="36" t="str">
        <x:v>困难</x:v>
      </x:c>
      <x:c r="I11" s="36" t="str">
        <x:v>0326d92d-d218-48a8-9ca1-981cd6d064c7</x:v>
      </x:c>
      <x:c r="J11" s="36" t="str">
        <x:v>CTX_0326d92d-d218-48a8-9ca1-981cd6d064c7</x:v>
      </x:c>
      <x:c r="K11" s="36" t="str">
        <x:v>MTM_0326d92d-d218-48a8-9ca1-981cd6d064c7</x:v>
      </x:c>
      <x:c r="L11" s="36" t="str"/>
      <x:c r="M11" s="36" t="str">
        <x:v>MTM_0a2e43bf-b26c-4631-a966-af9dfa12c9e5|MTM_26a8440e-c166-4c50-aef4-bfb77314b46b</x:v>
      </x:c>
      <x:c r="N11" s="36" t="str">
        <x:v>可复用模板</x:v>
      </x:c>
      <x:c r="O11" s="36" t="str">
        <x:v>中期</x:v>
      </x:c>
      <x:c r="P11" s="36" t="str">
        <x:v>["libreoffice_calc"]</x:v>
      </x:c>
      <x:c r="Q11" s="36" t="str">
        <x:v>[{"step_id":"S1","app":"libreoffice_calc","action_key":"build_total_and_growth_charts","input_artifacts":["SalesRep.xlsx"],"output_artifacts":["SalesRep.xlsx"],"depends_on":[]}]</x:v>
      </x:c>
      <x:c r="R11" s="36" t="str">
        <x:v>[]</x:v>
      </x:c>
      <x:c r="S11" s="36" t="str">
        <x:v>build_total_and_growth_charts</x:v>
      </x:c>
      <x:c r="T11" s="36" t="str">
        <x:v>SalesRep.xlsx</x:v>
      </x:c>
      <x:c r="U11" s="36" t="str">
        <x:v>retrieve_and_execute</x:v>
      </x:c>
      <x:c r="V11" s="36" t="str">
        <x:v>[{"point_id":"P1","description":"主要处理方式与预期动作 build_total_and_growth_charts 语义一致","weight":0.4,"evidence_memory_ids":["MTM_0326d92d-d218-48a8-9ca1-981cd6d064c7"]},{"point_id":"P2","description":"正确定位目标对象 SalesRep.xlsx","weight":0.2,"evidence_memory_ids":["MTM_0326d92d-d218-48a8-9ca1-981cd6d064c7"]},{"point_id":"P3","description":"满足关键条件：增长计算从 2 月开始；1 月不得出现在增长折线图；图标题使用 Total 和 Growth","weight":0.3,"evidence_memory_ids":["MTM_0326d92d-d218-48a8-9ca1-981cd6d064c7"]},{"point_id":"P4","description":"不采用禁止记忆中的冲突方案","weight":0.1,"evidence_memory_ids":["MTM_0326d92d-d218-48a8-9ca1-981cd6d064c7","MTM_0a2e43bf-b26c-4631-a966-af9dfa12c9e5","MTM_26a8440e-c166-4c50-aef4-bfb77314b46b"]}]</x:v>
      </x:c>
      <x:c r="W11" s="36" t="str">
        <x:v>1.00</x:v>
      </x:c>
      <x:c r="X11" s="39" t="str">
        <x:v>SalesRep 这份表还是总计柱形加环比折线那版，两个图名按对应行名来。</x:v>
      </x:c>
      <x:c r="Y11"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x:v>
      </x:c>
      <x:c r="Z11" s="39" t="str">
        <x:v>不适用：当前题目不存在需要用户进一步选择的候选记忆。</x:v>
      </x:c>
      <x:c r="AA11" s="39" t="str">
        <x:v>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新建 Sheet2，建立 Month 和 Total 两列表头，并列出所有月份及对应总销售额。关键约束：只创建 Month/Total 两列表；放在 Sheet2；不创建图表或增长率行。</x:v>
      </x:c>
      <x:c r="AB11" s="39" t="str">
        <x:v>应执行以下操作：在 SalesRep.xlsx 下方新增 Total 行计算各月销售总额并制作柱状图，再新增 Growth 行计算 2 月至 6 月环比增长率并制作折线图；增长图不包含 1 月，两个图标题分别使用对应行名。</x:v>
      </x:c>
      <x:c r="AC11"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x:v>
      </x:c>
      <x:c r="AD11" s="39" t="str">
        <x:v>用户的完整请求是：“SalesRep 这份表还是总计柱形加环比折线那版，两个图名按对应行名来。” 第1个当前上下文：SalesRep.xlsx 已在 LibreOffice Calc 中打开。 当前请求是在已有办公上下文中继续、复用或重新强调既有处理方式。与该请求唯一对应的完整必需记忆如下：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下方新增 Total 行计算各月销售总额并制作柱状图，再新增 Growth 行计算 2 月至 6 月环比增长率并制作折线图；增长图不包含 1 月，两个图标题分别使用对应行名。”</x:v>
      </x:c>
      <x:c r="AE1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第2个得分点（0.20分）：正确定位目标对象 SalesRep.xlsx。该得分点所依据的完整证据为：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第3个得分点（0.30分）：满足关键条件：增长计算从 2 月开始；1 月不得出现在增长折线图；图标题使用 Total 和 Growth。该得分点所依据的完整证据为：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第4个得分点（0.10分）：不采用禁止记忆中的冲突方案。该得分点所依据的完整证据为：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11" s="50" t="str">
        <x:v>not_pass</x:v>
      </x:c>
      <x:c r="AG11" s="50" t="n">
        <x:v>0</x:v>
      </x:c>
    </x:row>
    <x:row r="12" ht="189" customHeight="1">
      <x:c r="A12" s="35" t="str">
        <x:v>035f41ba-6653-43ab-aa63-c86d449d62e5_HQ1</x:v>
      </x:c>
      <x:c r="B12" s="36" t="str">
        <x:v>SG_TASK_035f41ba-6653-43ab-aa63-c86d449d62e5</x:v>
      </x:c>
      <x:c r="C12" s="36" t="str">
        <x:v>035f41ba-6653-43ab-aa63-c86d449d62e5</x:v>
      </x:c>
      <x:c r="D12" s="36" t="str">
        <x:v>IncomeStatement2.xlsx</x:v>
      </x:c>
      <x:c r="E12" s="36" t="str">
        <x:v>single_memory</x:v>
      </x:c>
      <x:c r="F12" s="36" t="str">
        <x:v>human_context_explicit</x:v>
      </x:c>
      <x:c r="G12" s="36" t="str">
        <x:v>train</x:v>
      </x:c>
      <x:c r="H12" s="36" t="str">
        <x:v>简单</x:v>
      </x:c>
      <x:c r="I12" s="36" t="str">
        <x:v>035f41ba-6653-43ab-aa63-c86d449d62e5</x:v>
      </x:c>
      <x:c r="J12" s="36" t="str">
        <x:v>CTX_035f41ba-6653-43ab-aa63-c86d449d62e5</x:v>
      </x:c>
      <x:c r="K12" s="36" t="str">
        <x:v>LTM_035f41ba-6653-43ab-aa63-c86d449d62e5</x:v>
      </x:c>
      <x:c r="L12" s="36" t="str"/>
      <x:c r="M12" s="36" t="str"/>
      <x:c r="N12" s="36" t="str">
        <x:v>知识</x:v>
      </x:c>
      <x:c r="O12" s="36" t="str">
        <x:v>长期</x:v>
      </x:c>
      <x:c r="P12" s="36" t="str">
        <x:v>["libreoffice_calc"]</x:v>
      </x:c>
      <x:c r="Q12" s="36" t="str">
        <x:v>[{"step_id":"S1","app":"libreoffice_calc","action_key":"calculate_gross_profit_and_year_profit_key","input_artifacts":["IncomeStatement2.xlsx"],"output_artifacts":["IncomeStatement2.xlsx"],"depends_on":[]}]</x:v>
      </x:c>
      <x:c r="R12" s="36" t="str">
        <x:v>[]</x:v>
      </x:c>
      <x:c r="S12" s="36" t="str">
        <x:v>calculate_gross_profit_and_year_profit_key</x:v>
      </x:c>
      <x:c r="T12" s="36" t="str">
        <x:v>IncomeStatement2.xlsx</x:v>
      </x:c>
      <x:c r="U12" s="36" t="str">
        <x:v>retrieve_and_execute</x:v>
      </x:c>
      <x:c r="V12" s="36" t="str">
        <x:v>[{"point_id":"P1","description":"主要处理方式与预期动作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x:v>
      </x:c>
      <x:c r="W12" s="36" t="str">
        <x:v>1.00</x:v>
      </x:c>
      <x:c r="X12" s="39" t="str">
        <x:v>IncomeStatement2.xlsx 的毛利和 Year_Profit 还没整理，按上次的计算口径把两部分补完。</x:v>
      </x:c>
      <x:c r="Y12"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x:v>
      </x:c>
      <x:c r="Z12" s="39" t="str">
        <x:v>不适用：当前题目不存在需要用户进一步选择的候选记忆。</x:v>
      </x:c>
      <x:c r="AA12" s="39" t="str">
        <x:v>不适用：当前题目没有指定需要排除的冲突或禁止记忆。</x:v>
      </x:c>
      <x:c r="AB12" s="39" t="str">
        <x:v>应执行以下操作：在 IncomeStatement2.xlsx 中，以实际销售额扣除折扣、折让、材料费、人工费和管理费用得到 Gross profit；再在 Sheet2 的 Year_Profit 列中把年份、下划线和毛利整数部分拼接起来。</x:v>
      </x:c>
      <x:c r="AC12"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x:v>
      </x:c>
      <x:c r="AD12" s="39" t="str">
        <x:v>用户的完整请求是：“IncomeStatement2.xlsx 的毛利和 Year_Profit 还没整理，按上次的计算口径把两部分补完。”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x:v>
      </x:c>
      <x:c r="AE1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x:v>
      </x:c>
      <x:c r="AF12" s="50" t="str">
        <x:v>not_pass</x:v>
      </x:c>
      <x:c r="AG12" s="50" t="n">
        <x:v>0</x:v>
      </x:c>
    </x:row>
    <x:row r="13" ht="189" customHeight="1">
      <x:c r="A13" s="35" t="str">
        <x:v>035f41ba-6653-43ab-aa63-c86d449d62e5_HQ2</x:v>
      </x:c>
      <x:c r="B13" s="36" t="str">
        <x:v>SG_TASK_035f41ba-6653-43ab-aa63-c86d449d62e5</x:v>
      </x:c>
      <x:c r="C13" s="36" t="str">
        <x:v>035f41ba-6653-43ab-aa63-c86d449d62e5</x:v>
      </x:c>
      <x:c r="D13" s="36" t="str">
        <x:v>IncomeStatement2.xlsx</x:v>
      </x:c>
      <x:c r="E13" s="36" t="str">
        <x:v>single_memory</x:v>
      </x:c>
      <x:c r="F13" s="36" t="str">
        <x:v>human_goal_oriented</x:v>
      </x:c>
      <x:c r="G13" s="36" t="str">
        <x:v>train</x:v>
      </x:c>
      <x:c r="H13" s="36" t="str">
        <x:v>中等</x:v>
      </x:c>
      <x:c r="I13" s="36" t="str">
        <x:v>035f41ba-6653-43ab-aa63-c86d449d62e5</x:v>
      </x:c>
      <x:c r="J13" s="36" t="str">
        <x:v>CTX_035f41ba-6653-43ab-aa63-c86d449d62e5</x:v>
      </x:c>
      <x:c r="K13" s="36" t="str">
        <x:v>LTM_035f41ba-6653-43ab-aa63-c86d449d62e5</x:v>
      </x:c>
      <x:c r="L13" s="36" t="str"/>
      <x:c r="M13" s="36" t="str"/>
      <x:c r="N13" s="36" t="str">
        <x:v>知识</x:v>
      </x:c>
      <x:c r="O13" s="36" t="str">
        <x:v>长期</x:v>
      </x:c>
      <x:c r="P13" s="36" t="str">
        <x:v>["libreoffice_calc"]</x:v>
      </x:c>
      <x:c r="Q13" s="36" t="str">
        <x:v>[{"step_id":"S1","app":"libreoffice_calc","action_key":"calculate_gross_profit_and_year_profit_key","input_artifacts":["IncomeStatement2.xlsx"],"output_artifacts":["IncomeStatement2.xlsx"],"depends_on":[]}]</x:v>
      </x:c>
      <x:c r="R13" s="36" t="str">
        <x:v>[]</x:v>
      </x:c>
      <x:c r="S13" s="36" t="str">
        <x:v>calculate_gross_profit_and_year_profit_key</x:v>
      </x:c>
      <x:c r="T13" s="36" t="str">
        <x:v>IncomeStatement2.xlsx</x:v>
      </x:c>
      <x:c r="U13" s="36" t="str">
        <x:v>retrieve_and_execute</x:v>
      </x:c>
      <x:c r="V13" s="36" t="str">
        <x:v>[{"point_id":"P1","description":"主要处理方式与预期动作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x:v>
      </x:c>
      <x:c r="W13" s="36" t="str">
        <x:v>1.00</x:v>
      </x:c>
      <x:c r="X13" s="39" t="str">
        <x:v>我得把这份利润表交上去，先把实际销售扣掉各项费用算出毛利，再在 Sheet2 拼出“年份_整数毛利”。</x:v>
      </x:c>
      <x:c r="Y13"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x:v>
      </x:c>
      <x:c r="Z13" s="39" t="str">
        <x:v>不适用：当前题目不存在需要用户进一步选择的候选记忆。</x:v>
      </x:c>
      <x:c r="AA13" s="39" t="str">
        <x:v>不适用：当前题目没有指定需要排除的冲突或禁止记忆。</x:v>
      </x:c>
      <x:c r="AB13" s="39" t="str">
        <x:v>应执行以下操作：在 IncomeStatement2.xlsx 中，以实际销售额扣除折扣、折让、材料费、人工费和管理费用得到 Gross profit；再在 Sheet2 的 Year_Profit 列中把年份、下划线和毛利整数部分拼接起来。</x:v>
      </x:c>
      <x:c r="AC13"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x:v>
      </x:c>
      <x:c r="AD13" s="39" t="str">
        <x:v>用户的完整请求是：“我得把这份利润表交上去，先把实际销售扣掉各项费用算出毛利，再在 Sheet2 拼出“年份_整数毛利”。”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x:v>
      </x:c>
      <x:c r="AE1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x:v>
      </x:c>
      <x:c r="AF13" s="50" t="str">
        <x:v>not_pass</x:v>
      </x:c>
      <x:c r="AG13" s="50" t="n">
        <x:v>0</x:v>
      </x:c>
    </x:row>
    <x:row r="14" ht="189" customHeight="1">
      <x:c r="A14" s="35" t="str">
        <x:v>035f41ba-6653-43ab-aa63-c86d449d62e5_HQ3</x:v>
      </x:c>
      <x:c r="B14" s="36" t="str">
        <x:v>SG_TASK_035f41ba-6653-43ab-aa63-c86d449d62e5</x:v>
      </x:c>
      <x:c r="C14" s="36" t="str">
        <x:v>035f41ba-6653-43ab-aa63-c86d449d62e5</x:v>
      </x:c>
      <x:c r="D14" s="36" t="str">
        <x:v>IncomeStatement2.xlsx</x:v>
      </x:c>
      <x:c r="E14" s="36" t="str">
        <x:v>single_memory</x:v>
      </x:c>
      <x:c r="F14" s="36" t="str">
        <x:v>contextual_ellipsis</x:v>
      </x:c>
      <x:c r="G14" s="36" t="str">
        <x:v>train</x:v>
      </x:c>
      <x:c r="H14" s="36" t="str">
        <x:v>中等</x:v>
      </x:c>
      <x:c r="I14" s="36" t="str">
        <x:v>035f41ba-6653-43ab-aa63-c86d449d62e5</x:v>
      </x:c>
      <x:c r="J14" s="36" t="str">
        <x:v>CTX_035f41ba-6653-43ab-aa63-c86d449d62e5</x:v>
      </x:c>
      <x:c r="K14" s="36" t="str">
        <x:v>LTM_035f41ba-6653-43ab-aa63-c86d449d62e5</x:v>
      </x:c>
      <x:c r="L14" s="36" t="str"/>
      <x:c r="M14" s="36" t="str"/>
      <x:c r="N14" s="36" t="str">
        <x:v>知识</x:v>
      </x:c>
      <x:c r="O14" s="36" t="str">
        <x:v>长期</x:v>
      </x:c>
      <x:c r="P14" s="36" t="str">
        <x:v>["libreoffice_calc"]</x:v>
      </x:c>
      <x:c r="Q14" s="36" t="str">
        <x:v>[{"step_id":"S1","app":"libreoffice_calc","action_key":"calculate_gross_profit_and_year_profit_key","input_artifacts":["IncomeStatement2.xlsx"],"output_artifacts":["IncomeStatement2.xlsx"],"depends_on":[]}]</x:v>
      </x:c>
      <x:c r="R14" s="36" t="str">
        <x:v>[]</x:v>
      </x:c>
      <x:c r="S14" s="36" t="str">
        <x:v>calculate_gross_profit_and_year_profit_key</x:v>
      </x:c>
      <x:c r="T14" s="36" t="str">
        <x:v>IncomeStatement2.xlsx</x:v>
      </x:c>
      <x:c r="U14" s="36" t="str">
        <x:v>retrieve_and_execute</x:v>
      </x:c>
      <x:c r="V14" s="36" t="str">
        <x:v>[{"point_id":"P1","description":"主要处理方式与预期动作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x:v>
      </x:c>
      <x:c r="W14" s="36" t="str">
        <x:v>1.00</x:v>
      </x:c>
      <x:c r="X14" s="39" t="str">
        <x:v>当前这张损益表继续按之前那套：毛利列算好，第二张表只放 Year_Profit。</x:v>
      </x:c>
      <x:c r="Y14"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x:v>
      </x:c>
      <x:c r="Z14" s="39" t="str">
        <x:v>不适用：当前题目不存在需要用户进一步选择的候选记忆。</x:v>
      </x:c>
      <x:c r="AA14" s="39" t="str">
        <x:v>不适用：当前题目没有指定需要排除的冲突或禁止记忆。</x:v>
      </x:c>
      <x:c r="AB14" s="39" t="str">
        <x:v>应执行以下操作：在 IncomeStatement2.xlsx 中，以实际销售额扣除折扣、折让、材料费、人工费和管理费用得到 Gross profit；再在 Sheet2 的 Year_Profit 列中把年份、下划线和毛利整数部分拼接起来。</x:v>
      </x:c>
      <x:c r="AC14"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x:v>
      </x:c>
      <x:c r="AD14" s="39" t="str">
        <x:v>用户的完整请求是：“当前这张损益表继续按之前那套：毛利列算好，第二张表只放 Year_Profit。”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x:v>
      </x:c>
      <x:c r="AE1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x:v>
      </x:c>
      <x:c r="AF14" s="50" t="str">
        <x:v>not_pass</x:v>
      </x:c>
      <x:c r="AG14" s="50" t="n">
        <x:v>0</x:v>
      </x:c>
    </x:row>
    <x:row r="15" ht="189" customHeight="1">
      <x:c r="A15" s="35" t="str">
        <x:v>035f41ba-6653-43ab-aa63-c86d449d62e5_HQ4</x:v>
      </x:c>
      <x:c r="B15" s="36" t="str">
        <x:v>SG_TASK_035f41ba-6653-43ab-aa63-c86d449d62e5</x:v>
      </x:c>
      <x:c r="C15" s="36" t="str">
        <x:v>035f41ba-6653-43ab-aa63-c86d449d62e5</x:v>
      </x:c>
      <x:c r="D15" s="36" t="str">
        <x:v>IncomeStatement2.xlsx</x:v>
      </x:c>
      <x:c r="E15" s="36" t="str">
        <x:v>single_memory</x:v>
      </x:c>
      <x:c r="F15" s="36" t="str">
        <x:v>low_overlap_paraphrase</x:v>
      </x:c>
      <x:c r="G15" s="36" t="str">
        <x:v>train</x:v>
      </x:c>
      <x:c r="H15" s="36" t="str">
        <x:v>困难</x:v>
      </x:c>
      <x:c r="I15" s="36" t="str">
        <x:v>035f41ba-6653-43ab-aa63-c86d449d62e5</x:v>
      </x:c>
      <x:c r="J15" s="36" t="str">
        <x:v>CTX_035f41ba-6653-43ab-aa63-c86d449d62e5</x:v>
      </x:c>
      <x:c r="K15" s="36" t="str">
        <x:v>LTM_035f41ba-6653-43ab-aa63-c86d449d62e5</x:v>
      </x:c>
      <x:c r="L15" s="36" t="str"/>
      <x:c r="M15" s="36" t="str"/>
      <x:c r="N15" s="36" t="str">
        <x:v>知识</x:v>
      </x:c>
      <x:c r="O15" s="36" t="str">
        <x:v>长期</x:v>
      </x:c>
      <x:c r="P15" s="36" t="str">
        <x:v>["libreoffice_calc"]</x:v>
      </x:c>
      <x:c r="Q15" s="36" t="str">
        <x:v>[{"step_id":"S1","app":"libreoffice_calc","action_key":"calculate_gross_profit_and_year_profit_key","input_artifacts":["IncomeStatement2.xlsx"],"output_artifacts":["IncomeStatement2.xlsx"],"depends_on":[]}]</x:v>
      </x:c>
      <x:c r="R15" s="36" t="str">
        <x:v>[]</x:v>
      </x:c>
      <x:c r="S15" s="36" t="str">
        <x:v>calculate_gross_profit_and_year_profit_key</x:v>
      </x:c>
      <x:c r="T15" s="36" t="str">
        <x:v>IncomeStatement2.xlsx</x:v>
      </x:c>
      <x:c r="U15" s="36" t="str">
        <x:v>retrieve_and_execute</x:v>
      </x:c>
      <x:c r="V15" s="36" t="str">
        <x:v>[{"point_id":"P1","description":"主要处理方式与预期动作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x:v>
      </x:c>
      <x:c r="W15" s="36" t="str">
        <x:v>1.00</x:v>
      </x:c>
      <x:c r="X15" s="39" t="str">
        <x:v>这份报表我要同时看真正剩下的毛利和按年份组合的标识，沿用我们之前的处理方式。</x:v>
      </x:c>
      <x:c r="Y15"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x:v>
      </x:c>
      <x:c r="Z15" s="39" t="str">
        <x:v>不适用：当前题目不存在需要用户进一步选择的候选记忆。</x:v>
      </x:c>
      <x:c r="AA15" s="39" t="str">
        <x:v>不适用：当前题目没有指定需要排除的冲突或禁止记忆。</x:v>
      </x:c>
      <x:c r="AB15" s="39" t="str">
        <x:v>应执行以下操作：在 IncomeStatement2.xlsx 中，以实际销售额扣除折扣、折让、材料费、人工费和管理费用得到 Gross profit；再在 Sheet2 的 Year_Profit 列中把年份、下划线和毛利整数部分拼接起来。</x:v>
      </x:c>
      <x:c r="AC15"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x:v>
      </x:c>
      <x:c r="AD15" s="39" t="str">
        <x:v>用户的完整请求是：“这份报表我要同时看真正剩下的毛利和按年份组合的标识，沿用我们之前的处理方式。”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x:v>
      </x:c>
      <x:c r="AE1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x:v>
      </x:c>
      <x:c r="AF15" s="50" t="str">
        <x:v>not_pass</x:v>
      </x:c>
      <x:c r="AG15" s="50" t="n">
        <x:v>0</x:v>
      </x:c>
    </x:row>
    <x:row r="16" ht="189" customHeight="1">
      <x:c r="A16" s="35" t="str">
        <x:v>035f41ba-6653-43ab-aa63-c86d449d62e5_HQ5</x:v>
      </x:c>
      <x:c r="B16" s="36" t="str">
        <x:v>SG_TASK_035f41ba-6653-43ab-aa63-c86d449d62e5</x:v>
      </x:c>
      <x:c r="C16" s="36" t="str">
        <x:v>035f41ba-6653-43ab-aa63-c86d449d62e5</x:v>
      </x:c>
      <x:c r="D16" s="36" t="str">
        <x:v>IncomeStatement2.xlsx</x:v>
      </x:c>
      <x:c r="E16" s="36" t="str">
        <x:v>single_memory</x:v>
      </x:c>
      <x:c r="F16" s="36" t="str">
        <x:v>human_constraint_emphasis</x:v>
      </x:c>
      <x:c r="G16" s="36" t="str">
        <x:v>train</x:v>
      </x:c>
      <x:c r="H16" s="36" t="str">
        <x:v>困难</x:v>
      </x:c>
      <x:c r="I16" s="36" t="str">
        <x:v>035f41ba-6653-43ab-aa63-c86d449d62e5</x:v>
      </x:c>
      <x:c r="J16" s="36" t="str">
        <x:v>CTX_035f41ba-6653-43ab-aa63-c86d449d62e5</x:v>
      </x:c>
      <x:c r="K16" s="36" t="str">
        <x:v>LTM_035f41ba-6653-43ab-aa63-c86d449d62e5</x:v>
      </x:c>
      <x:c r="L16" s="36" t="str"/>
      <x:c r="M16" s="36" t="str"/>
      <x:c r="N16" s="36" t="str">
        <x:v>知识</x:v>
      </x:c>
      <x:c r="O16" s="36" t="str">
        <x:v>长期</x:v>
      </x:c>
      <x:c r="P16" s="36" t="str">
        <x:v>["libreoffice_calc"]</x:v>
      </x:c>
      <x:c r="Q16" s="36" t="str">
        <x:v>[{"step_id":"S1","app":"libreoffice_calc","action_key":"calculate_gross_profit_and_year_profit_key","input_artifacts":["IncomeStatement2.xlsx"],"output_artifacts":["IncomeStatement2.xlsx"],"depends_on":[]}]</x:v>
      </x:c>
      <x:c r="R16" s="36" t="str">
        <x:v>[]</x:v>
      </x:c>
      <x:c r="S16" s="36" t="str">
        <x:v>calculate_gross_profit_and_year_profit_key</x:v>
      </x:c>
      <x:c r="T16" s="36" t="str">
        <x:v>IncomeStatement2.xlsx</x:v>
      </x:c>
      <x:c r="U16" s="36" t="str">
        <x:v>retrieve_and_execute</x:v>
      </x:c>
      <x:c r="V16" s="36" t="str">
        <x:v>[{"point_id":"P1","description":"主要处理方式与预期动作 calculate_gross_profit_and_year_profit_key 语义一致","weight":0.4,"evidence_memory_ids":["LTM_035f41ba-6653-43ab-aa63-c86d449d62e5"]},{"point_id":"P2","description":"正确定位目标对象 IncomeStatement2.xlsx","weight":0.2,"evidence_memory_ids":["LTM_035f41ba-6653-43ab-aa63-c86d449d62e5"]},{"point_id":"P3","description":"满足关键条件：毛利必须扣除题目列出的全部费用；Year_Profit 使用年份_毛利整数的格式","weight":0.3,"evidence_memory_ids":["LTM_035f41ba-6653-43ab-aa63-c86d449d62e5"]},{"point_id":"P4","description":"不增加无记忆证据支持的操作","weight":0.1,"evidence_memory_ids":["LTM_035f41ba-6653-43ab-aa63-c86d449d62e5"]}]</x:v>
      </x:c>
      <x:c r="W16" s="36" t="str">
        <x:v>1.00</x:v>
      </x:c>
      <x:c r="X16" s="39" t="str">
        <x:v>IncomeStatement2 还是先算净下来的毛利，再把年份和毛利整数用下划线连到 Sheet2。</x:v>
      </x:c>
      <x:c r="Y16"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x:v>
      </x:c>
      <x:c r="Z16" s="39" t="str">
        <x:v>不适用：当前题目不存在需要用户进一步选择的候选记忆。</x:v>
      </x:c>
      <x:c r="AA16" s="39" t="str">
        <x:v>不适用：当前题目没有指定需要排除的冲突或禁止记忆。</x:v>
      </x:c>
      <x:c r="AB16" s="39" t="str">
        <x:v>应执行以下操作：在 IncomeStatement2.xlsx 中，以实际销售额扣除折扣、折让、材料费、人工费和管理费用得到 Gross profit；再在 Sheet2 的 Year_Profit 列中把年份、下划线和毛利整数部分拼接起来。</x:v>
      </x:c>
      <x:c r="AC16"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x:v>
      </x:c>
      <x:c r="AD16" s="39" t="str">
        <x:v>用户的完整请求是：“IncomeStatement2 还是先算净下来的毛利，再把年份和毛利整数用下划线连到 Sheet2。” 第1个当前上下文：IncomeStatement2.xlsx 已在 LibreOffice Calc 中打开。 当前请求是在已有办公上下文中继续、复用或重新强调既有处理方式。与该请求唯一对应的完整必需记忆如下：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IncomeStatement2.xlsx 中，以实际销售额扣除折扣、折让、材料费、人工费和管理费用得到 Gross profit；再在 Sheet2 的 Year_Profit 列中把年份、下划线和毛利整数部分拼接起来。”</x:v>
      </x:c>
      <x:c r="AE1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第2个得分点（0.20分）：正确定位目标对象 IncomeStatement2.xlsx。该得分点所依据的完整证据为：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第3个得分点（0.30分）：满足关键条件：毛利必须扣除题目列出的全部费用；Year_Profit 使用年份_毛利整数的格式。该得分点所依据的完整证据为：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第4个得分点（0.10分）：不增加无记忆证据支持的操作。该得分点所依据的完整证据为：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人工复审时，应依据模型最终给出的信息和实际操作是否满足上述每个得分点分别给分；只命中记忆 ID 但没有形成对应结论不能获得该结论分，形成了正确结论但表达方式不同则不应扣分。</x:v>
      </x:c>
      <x:c r="AF16" s="50" t="str">
        <x:v>not_pass</x:v>
      </x:c>
      <x:c r="AG16" s="50" t="n">
        <x:v>0</x:v>
      </x:c>
    </x:row>
    <x:row r="17" ht="189" customHeight="1">
      <x:c r="A17" s="35" t="str">
        <x:v>04d9aeaf-7bed-4024-bedb-e10e6f00eb7f_HQ1</x:v>
      </x:c>
      <x:c r="B17" s="36" t="str">
        <x:v>SG_TASK_04d9aeaf-7bed-4024-bedb-e10e6f00eb7f</x:v>
      </x:c>
      <x:c r="C17" s="36" t="str">
        <x:v>04d9aeaf-7bed-4024-bedb-e10e6f00eb7f</x:v>
      </x:c>
      <x:c r="D17" s="36" t="str">
        <x:v>SmallBalanceSheet.xlsx</x:v>
      </x:c>
      <x:c r="E17" s="36" t="str">
        <x:v>single_memory</x:v>
      </x:c>
      <x:c r="F17" s="36" t="str">
        <x:v>human_context_explicit</x:v>
      </x:c>
      <x:c r="G17" s="36" t="str">
        <x:v>train</x:v>
      </x:c>
      <x:c r="H17" s="36" t="str">
        <x:v>简单</x:v>
      </x:c>
      <x:c r="I17" s="36" t="str">
        <x:v>04d9aeaf-7bed-4024-bedb-e10e6f00eb7f</x:v>
      </x:c>
      <x:c r="J17" s="36" t="str">
        <x:v>CTX_04d9aeaf-7bed-4024-bedb-e10e6f00eb7f</x:v>
      </x:c>
      <x:c r="K17" s="36" t="str">
        <x:v>STM_04d9aeaf-7bed-4024-bedb-e10e6f00eb7f</x:v>
      </x:c>
      <x:c r="L17" s="36" t="str"/>
      <x:c r="M17" s="36" t="str"/>
      <x:c r="N17" s="36" t="str">
        <x:v>知识</x:v>
      </x:c>
      <x:c r="O17" s="36" t="str">
        <x:v>短期</x:v>
      </x:c>
      <x:c r="P17" s="36" t="str">
        <x:v>["libreoffice_calc"]</x:v>
      </x:c>
      <x:c r="Q17" s="36" t="str">
        <x:v>[{"step_id":"S1","app":"libreoffice_calc","action_key":"calculate_asset_year_over_year_changes","input_artifacts":["SmallBalanceSheet.xlsx"],"output_artifacts":["SmallBalanceSheet.xlsx"],"depends_on":[]}]</x:v>
      </x:c>
      <x:c r="R17" s="36" t="str">
        <x:v>[]</x:v>
      </x:c>
      <x:c r="S17" s="36" t="str">
        <x:v>calculate_asset_year_over_year_changes</x:v>
      </x:c>
      <x:c r="T17" s="36" t="str">
        <x:v>SmallBalanceSheet.xlsx</x:v>
      </x:c>
      <x:c r="U17" s="36" t="str">
        <x:v>retrieve_and_execute</x:v>
      </x:c>
      <x:c r="V17" s="36" t="str">
        <x:v>[{"point_id":"P1","description":"主要处理方式与预期动作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x:v>
      </x:c>
      <x:c r="W17" s="36" t="str">
        <x:v>1.00</x:v>
      </x:c>
      <x:c r="X17" s="39" t="str">
        <x:v>SmallBalanceSheet.xlsx 里那组资产变化还没算，按之前的四列表格把2015到2019年的同比补到 Sheet2。</x:v>
      </x:c>
      <x:c r="Y17"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x:v>
      </x:c>
      <x:c r="Z17" s="39" t="str">
        <x:v>不适用：当前题目不存在需要用户进一步选择的候选记忆。</x:v>
      </x:c>
      <x:c r="AA17" s="39" t="str">
        <x:v>不适用：当前题目没有指定需要排除的冲突或禁止记忆。</x:v>
      </x:c>
      <x:c r="AB17" s="39" t="str">
        <x:v>应执行以下操作：在 SmallBalanceSheet.xlsx 新建 Sheet2，设置 Year、CA changes、FA changes、OA changes 四个表头，计算 2015 至 2019 年流动资产、固定资产和其他资产相对上一年的年度百分比变化。</x:v>
      </x:c>
      <x:c r="AC17"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x:v>
      </x:c>
      <x:c r="AD17" s="39" t="str">
        <x:v>用户的完整请求是：“SmallBalanceSheet.xlsx 里那组资产变化还没算，按之前的四列表格把2015到2019年的同比补到 Sheet2。”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x:v>
      </x:c>
      <x:c r="AE1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x:v>
      </x:c>
      <x:c r="AF17" s="50" t="str">
        <x:v>not_pass</x:v>
      </x:c>
      <x:c r="AG17" s="50" t="n">
        <x:v>0</x:v>
      </x:c>
    </x:row>
    <x:row r="18" ht="189" customHeight="1">
      <x:c r="A18" s="35" t="str">
        <x:v>04d9aeaf-7bed-4024-bedb-e10e6f00eb7f_HQ2</x:v>
      </x:c>
      <x:c r="B18" s="36" t="str">
        <x:v>SG_TASK_04d9aeaf-7bed-4024-bedb-e10e6f00eb7f</x:v>
      </x:c>
      <x:c r="C18" s="36" t="str">
        <x:v>04d9aeaf-7bed-4024-bedb-e10e6f00eb7f</x:v>
      </x:c>
      <x:c r="D18" s="36" t="str">
        <x:v>SmallBalanceSheet.xlsx</x:v>
      </x:c>
      <x:c r="E18" s="36" t="str">
        <x:v>single_memory</x:v>
      </x:c>
      <x:c r="F18" s="36" t="str">
        <x:v>human_goal_oriented</x:v>
      </x:c>
      <x:c r="G18" s="36" t="str">
        <x:v>train</x:v>
      </x:c>
      <x:c r="H18" s="36" t="str">
        <x:v>中等</x:v>
      </x:c>
      <x:c r="I18" s="36" t="str">
        <x:v>04d9aeaf-7bed-4024-bedb-e10e6f00eb7f</x:v>
      </x:c>
      <x:c r="J18" s="36" t="str">
        <x:v>CTX_04d9aeaf-7bed-4024-bedb-e10e6f00eb7f</x:v>
      </x:c>
      <x:c r="K18" s="36" t="str">
        <x:v>STM_04d9aeaf-7bed-4024-bedb-e10e6f00eb7f</x:v>
      </x:c>
      <x:c r="L18" s="36" t="str"/>
      <x:c r="M18" s="36" t="str"/>
      <x:c r="N18" s="36" t="str">
        <x:v>知识</x:v>
      </x:c>
      <x:c r="O18" s="36" t="str">
        <x:v>短期</x:v>
      </x:c>
      <x:c r="P18" s="36" t="str">
        <x:v>["libreoffice_calc"]</x:v>
      </x:c>
      <x:c r="Q18" s="36" t="str">
        <x:v>[{"step_id":"S1","app":"libreoffice_calc","action_key":"calculate_asset_year_over_year_changes","input_artifacts":["SmallBalanceSheet.xlsx"],"output_artifacts":["SmallBalanceSheet.xlsx"],"depends_on":[]}]</x:v>
      </x:c>
      <x:c r="R18" s="36" t="str">
        <x:v>[]</x:v>
      </x:c>
      <x:c r="S18" s="36" t="str">
        <x:v>calculate_asset_year_over_year_changes</x:v>
      </x:c>
      <x:c r="T18" s="36" t="str">
        <x:v>SmallBalanceSheet.xlsx</x:v>
      </x:c>
      <x:c r="U18" s="36" t="str">
        <x:v>retrieve_and_execute</x:v>
      </x:c>
      <x:c r="V18" s="36" t="str">
        <x:v>[{"point_id":"P1","description":"主要处理方式与预期动作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x:v>
      </x:c>
      <x:c r="W18" s="36" t="str">
        <x:v>1.00</x:v>
      </x:c>
      <x:c r="X18" s="39" t="str">
        <x:v>我想看这几年三类资产相对上一年的变化幅度，麻烦在第二张表按 Year、CA、FA、OA 那个结构整理。</x:v>
      </x:c>
      <x:c r="Y18"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x:v>
      </x:c>
      <x:c r="Z18" s="39" t="str">
        <x:v>不适用：当前题目不存在需要用户进一步选择的候选记忆。</x:v>
      </x:c>
      <x:c r="AA18" s="39" t="str">
        <x:v>不适用：当前题目没有指定需要排除的冲突或禁止记忆。</x:v>
      </x:c>
      <x:c r="AB18" s="39" t="str">
        <x:v>应执行以下操作：在 SmallBalanceSheet.xlsx 新建 Sheet2，设置 Year、CA changes、FA changes、OA changes 四个表头，计算 2015 至 2019 年流动资产、固定资产和其他资产相对上一年的年度百分比变化。</x:v>
      </x:c>
      <x:c r="AC18"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x:v>
      </x:c>
      <x:c r="AD18" s="39" t="str">
        <x:v>用户的完整请求是：“我想看这几年三类资产相对上一年的变化幅度，麻烦在第二张表按 Year、CA、FA、OA 那个结构整理。”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x:v>
      </x:c>
      <x:c r="AE1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x:v>
      </x:c>
      <x:c r="AF18" s="50" t="str">
        <x:v>not_pass</x:v>
      </x:c>
      <x:c r="AG18" s="50" t="n">
        <x:v>0</x:v>
      </x:c>
    </x:row>
    <x:row r="19" ht="189" customHeight="1">
      <x:c r="A19" s="35" t="str">
        <x:v>04d9aeaf-7bed-4024-bedb-e10e6f00eb7f_HQ3</x:v>
      </x:c>
      <x:c r="B19" s="36" t="str">
        <x:v>SG_TASK_04d9aeaf-7bed-4024-bedb-e10e6f00eb7f</x:v>
      </x:c>
      <x:c r="C19" s="36" t="str">
        <x:v>04d9aeaf-7bed-4024-bedb-e10e6f00eb7f</x:v>
      </x:c>
      <x:c r="D19" s="36" t="str">
        <x:v>SmallBalanceSheet.xlsx</x:v>
      </x:c>
      <x:c r="E19" s="36" t="str">
        <x:v>single_memory</x:v>
      </x:c>
      <x:c r="F19" s="36" t="str">
        <x:v>contextual_ellipsis</x:v>
      </x:c>
      <x:c r="G19" s="36" t="str">
        <x:v>train</x:v>
      </x:c>
      <x:c r="H19" s="36" t="str">
        <x:v>中等</x:v>
      </x:c>
      <x:c r="I19" s="36" t="str">
        <x:v>04d9aeaf-7bed-4024-bedb-e10e6f00eb7f</x:v>
      </x:c>
      <x:c r="J19" s="36" t="str">
        <x:v>CTX_04d9aeaf-7bed-4024-bedb-e10e6f00eb7f</x:v>
      </x:c>
      <x:c r="K19" s="36" t="str">
        <x:v>STM_04d9aeaf-7bed-4024-bedb-e10e6f00eb7f</x:v>
      </x:c>
      <x:c r="L19" s="36" t="str"/>
      <x:c r="M19" s="36" t="str"/>
      <x:c r="N19" s="36" t="str">
        <x:v>知识</x:v>
      </x:c>
      <x:c r="O19" s="36" t="str">
        <x:v>短期</x:v>
      </x:c>
      <x:c r="P19" s="36" t="str">
        <x:v>["libreoffice_calc"]</x:v>
      </x:c>
      <x:c r="Q19" s="36" t="str">
        <x:v>[{"step_id":"S1","app":"libreoffice_calc","action_key":"calculate_asset_year_over_year_changes","input_artifacts":["SmallBalanceSheet.xlsx"],"output_artifacts":["SmallBalanceSheet.xlsx"],"depends_on":[]}]</x:v>
      </x:c>
      <x:c r="R19" s="36" t="str">
        <x:v>[]</x:v>
      </x:c>
      <x:c r="S19" s="36" t="str">
        <x:v>calculate_asset_year_over_year_changes</x:v>
      </x:c>
      <x:c r="T19" s="36" t="str">
        <x:v>SmallBalanceSheet.xlsx</x:v>
      </x:c>
      <x:c r="U19" s="36" t="str">
        <x:v>retrieve_and_execute</x:v>
      </x:c>
      <x:c r="V19" s="36" t="str">
        <x:v>[{"point_id":"P1","description":"主要处理方式与预期动作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x:v>
      </x:c>
      <x:c r="W19" s="36" t="str">
        <x:v>1.00</x:v>
      </x:c>
      <x:c r="X19" s="39" t="str">
        <x:v>当前这份小型资产负债表继续做年度变化分析，流动、固定和其他资产都要覆盖。</x:v>
      </x:c>
      <x:c r="Y19"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x:v>
      </x:c>
      <x:c r="Z19" s="39" t="str">
        <x:v>不适用：当前题目不存在需要用户进一步选择的候选记忆。</x:v>
      </x:c>
      <x:c r="AA19" s="39" t="str">
        <x:v>不适用：当前题目没有指定需要排除的冲突或禁止记忆。</x:v>
      </x:c>
      <x:c r="AB19" s="39" t="str">
        <x:v>应执行以下操作：在 SmallBalanceSheet.xlsx 新建 Sheet2，设置 Year、CA changes、FA changes、OA changes 四个表头，计算 2015 至 2019 年流动资产、固定资产和其他资产相对上一年的年度百分比变化。</x:v>
      </x:c>
      <x:c r="AC19"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x:v>
      </x:c>
      <x:c r="AD19" s="39" t="str">
        <x:v>用户的完整请求是：“当前这份小型资产负债表继续做年度变化分析，流动、固定和其他资产都要覆盖。”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x:v>
      </x:c>
      <x:c r="AE1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x:v>
      </x:c>
      <x:c r="AF19" s="50" t="str">
        <x:v>not_pass</x:v>
      </x:c>
      <x:c r="AG19" s="50" t="n">
        <x:v>0</x:v>
      </x:c>
    </x:row>
    <x:row r="20" ht="189" customHeight="1">
      <x:c r="A20" s="35" t="str">
        <x:v>04d9aeaf-7bed-4024-bedb-e10e6f00eb7f_HQ4</x:v>
      </x:c>
      <x:c r="B20" s="36" t="str">
        <x:v>SG_TASK_04d9aeaf-7bed-4024-bedb-e10e6f00eb7f</x:v>
      </x:c>
      <x:c r="C20" s="36" t="str">
        <x:v>04d9aeaf-7bed-4024-bedb-e10e6f00eb7f</x:v>
      </x:c>
      <x:c r="D20" s="36" t="str">
        <x:v>SmallBalanceSheet.xlsx</x:v>
      </x:c>
      <x:c r="E20" s="36" t="str">
        <x:v>single_memory</x:v>
      </x:c>
      <x:c r="F20" s="36" t="str">
        <x:v>low_overlap_paraphrase</x:v>
      </x:c>
      <x:c r="G20" s="36" t="str">
        <x:v>train</x:v>
      </x:c>
      <x:c r="H20" s="36" t="str">
        <x:v>困难</x:v>
      </x:c>
      <x:c r="I20" s="36" t="str">
        <x:v>04d9aeaf-7bed-4024-bedb-e10e6f00eb7f</x:v>
      </x:c>
      <x:c r="J20" s="36" t="str">
        <x:v>CTX_04d9aeaf-7bed-4024-bedb-e10e6f00eb7f</x:v>
      </x:c>
      <x:c r="K20" s="36" t="str">
        <x:v>STM_04d9aeaf-7bed-4024-bedb-e10e6f00eb7f</x:v>
      </x:c>
      <x:c r="L20" s="36" t="str"/>
      <x:c r="M20" s="36" t="str"/>
      <x:c r="N20" s="36" t="str">
        <x:v>知识</x:v>
      </x:c>
      <x:c r="O20" s="36" t="str">
        <x:v>短期</x:v>
      </x:c>
      <x:c r="P20" s="36" t="str">
        <x:v>["libreoffice_calc"]</x:v>
      </x:c>
      <x:c r="Q20" s="36" t="str">
        <x:v>[{"step_id":"S1","app":"libreoffice_calc","action_key":"calculate_asset_year_over_year_changes","input_artifacts":["SmallBalanceSheet.xlsx"],"output_artifacts":["SmallBalanceSheet.xlsx"],"depends_on":[]}]</x:v>
      </x:c>
      <x:c r="R20" s="36" t="str">
        <x:v>[]</x:v>
      </x:c>
      <x:c r="S20" s="36" t="str">
        <x:v>calculate_asset_year_over_year_changes</x:v>
      </x:c>
      <x:c r="T20" s="36" t="str">
        <x:v>SmallBalanceSheet.xlsx</x:v>
      </x:c>
      <x:c r="U20" s="36" t="str">
        <x:v>retrieve_and_execute</x:v>
      </x:c>
      <x:c r="V20" s="36" t="str">
        <x:v>[{"point_id":"P1","description":"主要处理方式与预期动作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x:v>
      </x:c>
      <x:c r="W20" s="36" t="str">
        <x:v>1.00</x:v>
      </x:c>
      <x:c r="X20" s="39" t="str">
        <x:v>为了看资产结构怎么变，请把2015到2019每年相对前一年的增减比例单独汇总出来。</x:v>
      </x:c>
      <x:c r="Y20"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x:v>
      </x:c>
      <x:c r="Z20" s="39" t="str">
        <x:v>不适用：当前题目不存在需要用户进一步选择的候选记忆。</x:v>
      </x:c>
      <x:c r="AA20" s="39" t="str">
        <x:v>不适用：当前题目没有指定需要排除的冲突或禁止记忆。</x:v>
      </x:c>
      <x:c r="AB20" s="39" t="str">
        <x:v>应执行以下操作：在 SmallBalanceSheet.xlsx 新建 Sheet2，设置 Year、CA changes、FA changes、OA changes 四个表头，计算 2015 至 2019 年流动资产、固定资产和其他资产相对上一年的年度百分比变化。</x:v>
      </x:c>
      <x:c r="AC20"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x:v>
      </x:c>
      <x:c r="AD20" s="39" t="str">
        <x:v>用户的完整请求是：“为了看资产结构怎么变，请把2015到2019每年相对前一年的增减比例单独汇总出来。”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x:v>
      </x:c>
      <x:c r="AE2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x:v>
      </x:c>
      <x:c r="AF20" s="50" t="str">
        <x:v>not_pass</x:v>
      </x:c>
      <x:c r="AG20" s="50" t="n">
        <x:v>0</x:v>
      </x:c>
    </x:row>
    <x:row r="21" ht="189" customHeight="1">
      <x:c r="A21" s="35" t="str">
        <x:v>04d9aeaf-7bed-4024-bedb-e10e6f00eb7f_HQ5</x:v>
      </x:c>
      <x:c r="B21" s="36" t="str">
        <x:v>SG_TASK_04d9aeaf-7bed-4024-bedb-e10e6f00eb7f</x:v>
      </x:c>
      <x:c r="C21" s="36" t="str">
        <x:v>04d9aeaf-7bed-4024-bedb-e10e6f00eb7f</x:v>
      </x:c>
      <x:c r="D21" s="36" t="str">
        <x:v>SmallBalanceSheet.xlsx</x:v>
      </x:c>
      <x:c r="E21" s="36" t="str">
        <x:v>single_memory</x:v>
      </x:c>
      <x:c r="F21" s="36" t="str">
        <x:v>human_constraint_emphasis</x:v>
      </x:c>
      <x:c r="G21" s="36" t="str">
        <x:v>train</x:v>
      </x:c>
      <x:c r="H21" s="36" t="str">
        <x:v>困难</x:v>
      </x:c>
      <x:c r="I21" s="36" t="str">
        <x:v>04d9aeaf-7bed-4024-bedb-e10e6f00eb7f</x:v>
      </x:c>
      <x:c r="J21" s="36" t="str">
        <x:v>CTX_04d9aeaf-7bed-4024-bedb-e10e6f00eb7f</x:v>
      </x:c>
      <x:c r="K21" s="36" t="str">
        <x:v>STM_04d9aeaf-7bed-4024-bedb-e10e6f00eb7f</x:v>
      </x:c>
      <x:c r="L21" s="36" t="str"/>
      <x:c r="M21" s="36" t="str"/>
      <x:c r="N21" s="36" t="str">
        <x:v>知识</x:v>
      </x:c>
      <x:c r="O21" s="36" t="str">
        <x:v>短期</x:v>
      </x:c>
      <x:c r="P21" s="36" t="str">
        <x:v>["libreoffice_calc"]</x:v>
      </x:c>
      <x:c r="Q21" s="36" t="str">
        <x:v>[{"step_id":"S1","app":"libreoffice_calc","action_key":"calculate_asset_year_over_year_changes","input_artifacts":["SmallBalanceSheet.xlsx"],"output_artifacts":["SmallBalanceSheet.xlsx"],"depends_on":[]}]</x:v>
      </x:c>
      <x:c r="R21" s="36" t="str">
        <x:v>[]</x:v>
      </x:c>
      <x:c r="S21" s="36" t="str">
        <x:v>calculate_asset_year_over_year_changes</x:v>
      </x:c>
      <x:c r="T21" s="36" t="str">
        <x:v>SmallBalanceSheet.xlsx</x:v>
      </x:c>
      <x:c r="U21" s="36" t="str">
        <x:v>retrieve_and_execute</x:v>
      </x:c>
      <x:c r="V21" s="36" t="str">
        <x:v>[{"point_id":"P1","description":"主要处理方式与预期动作 calculate_asset_year_over_year_changes 语义一致","weight":0.4,"evidence_memory_ids":["STM_04d9aeaf-7bed-4024-bedb-e10e6f00eb7f"]},{"point_id":"P2","description":"正确定位目标对象 SmallBalanceSheet.xlsx","weight":0.2,"evidence_memory_ids":["STM_04d9aeaf-7bed-4024-bedb-e10e6f00eb7f"]},{"point_id":"P3","description":"满足关键条件：结果放入新建 Sheet2；表头名称保持指定值；比较基准为上一年","weight":0.3,"evidence_memory_ids":["STM_04d9aeaf-7bed-4024-bedb-e10e6f00eb7f"]},{"point_id":"P4","description":"不增加无记忆证据支持的操作","weight":0.1,"evidence_memory_ids":["STM_04d9aeaf-7bed-4024-bedb-e10e6f00eb7f"]}]</x:v>
      </x:c>
      <x:c r="W21" s="36" t="str">
        <x:v>1.00</x:v>
      </x:c>
      <x:c r="X21" s="39" t="str">
        <x:v>这张表还是按 Year 加三类 changes 的格式放到 Sheet2，年份范围别漏。</x:v>
      </x:c>
      <x:c r="Y21"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x:v>
      </x:c>
      <x:c r="Z21" s="39" t="str">
        <x:v>不适用：当前题目不存在需要用户进一步选择的候选记忆。</x:v>
      </x:c>
      <x:c r="AA21" s="39" t="str">
        <x:v>不适用：当前题目没有指定需要排除的冲突或禁止记忆。</x:v>
      </x:c>
      <x:c r="AB21" s="39" t="str">
        <x:v>应执行以下操作：在 SmallBalanceSheet.xlsx 新建 Sheet2，设置 Year、CA changes、FA changes、OA changes 四个表头，计算 2015 至 2019 年流动资产、固定资产和其他资产相对上一年的年度百分比变化。</x:v>
      </x:c>
      <x:c r="AC21"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x:v>
      </x:c>
      <x:c r="AD21" s="39" t="str">
        <x:v>用户的完整请求是：“这张表还是按 Year 加三类 changes 的格式放到 Sheet2，年份范围别漏。” 第1个当前上下文：SmallBalanceSheet.xlsx 已在 LibreOffice Calc 中打开。 当前请求是在已有办公上下文中继续、复用或重新强调既有处理方式。与该请求唯一对应的完整必需记忆如下：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SmallBalanceSheet.xlsx 新建 Sheet2，设置 Year、CA changes、FA changes、OA changes 四个表头，计算 2015 至 2019 年流动资产、固定资产和其他资产相对上一年的年度百分比变化。”</x:v>
      </x:c>
      <x:c r="AE2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第2个得分点（0.20分）：正确定位目标对象 SmallBalanceSheet.xlsx。该得分点所依据的完整证据为：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第3个得分点（0.30分）：满足关键条件：结果放入新建 Sheet2；表头名称保持指定值；比较基准为上一年。该得分点所依据的完整证据为：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第4个得分点（0.10分）：不增加无记忆证据支持的操作。该得分点所依据的完整证据为：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人工复审时，应依据模型最终给出的信息和实际操作是否满足上述每个得分点分别给分；只命中记忆 ID 但没有形成对应结论不能获得该结论分，形成了正确结论但表达方式不同则不应扣分。</x:v>
      </x:c>
      <x:c r="AF21" s="50" t="str">
        <x:v>not_pass</x:v>
      </x:c>
      <x:c r="AG21" s="50" t="n">
        <x:v>0</x:v>
      </x:c>
    </x:row>
    <x:row r="22" ht="202.5" customHeight="1">
      <x:c r="A22" s="35" t="str">
        <x:v>0a2e43bf-b26c-4631-a966-af9dfa12c9e5_HQ1</x:v>
      </x:c>
      <x:c r="B22" s="36" t="str">
        <x:v>SG_TASK_0a2e43bf-b26c-4631-a966-af9dfa12c9e5</x:v>
      </x:c>
      <x:c r="C22" s="36" t="str">
        <x:v>0a2e43bf-b26c-4631-a966-af9dfa12c9e5</x:v>
      </x:c>
      <x:c r="D22" s="36" t="str">
        <x:v>SalesRep.xlsx</x:v>
      </x:c>
      <x:c r="E22" s="36" t="str">
        <x:v>single_memory</x:v>
      </x:c>
      <x:c r="F22" s="36" t="str">
        <x:v>human_context_explicit</x:v>
      </x:c>
      <x:c r="G22" s="36" t="str">
        <x:v>train</x:v>
      </x:c>
      <x:c r="H22" s="36" t="str">
        <x:v>简单</x:v>
      </x:c>
      <x:c r="I22" s="36" t="str">
        <x:v>0a2e43bf-b26c-4631-a966-af9dfa12c9e5</x:v>
      </x:c>
      <x:c r="J22" s="36" t="str">
        <x:v>CTX_0a2e43bf-b26c-4631-a966-af9dfa12c9e5</x:v>
      </x:c>
      <x:c r="K22" s="36" t="str">
        <x:v>MTM_0a2e43bf-b26c-4631-a966-af9dfa12c9e5</x:v>
      </x:c>
      <x:c r="L22" s="36" t="str"/>
      <x:c r="M22" s="36" t="str">
        <x:v>MTM_0326d92d-d218-48a8-9ca1-981cd6d064c7|MTM_26a8440e-c166-4c50-aef4-bfb77314b46b</x:v>
      </x:c>
      <x:c r="N22" s="36" t="str">
        <x:v>可复用模板</x:v>
      </x:c>
      <x:c r="O22" s="36" t="str">
        <x:v>中期</x:v>
      </x:c>
      <x:c r="P22" s="36" t="str">
        <x:v>["libreoffice_calc"]</x:v>
      </x:c>
      <x:c r="Q22" s="36" t="str">
        <x:v>[{"step_id":"S1","app":"libreoffice_calc","action_key":"build_monthly_total_line_chart","input_artifacts":["SalesRep.xlsx"],"output_artifacts":["SalesRep.xlsx"],"depends_on":[]}]</x:v>
      </x:c>
      <x:c r="R22" s="36" t="str">
        <x:v>[]</x:v>
      </x:c>
      <x:c r="S22" s="36" t="str">
        <x:v>build_monthly_total_line_chart</x:v>
      </x:c>
      <x:c r="T22" s="36" t="str">
        <x:v>SalesRep.xlsx</x:v>
      </x:c>
      <x:c r="U22" s="36" t="str">
        <x:v>retrieve_and_execute</x:v>
      </x:c>
      <x:c r="V22" s="36" t="str">
        <x:v>[{"point_id":"P1","description":"主要处理方式与预期动作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x:v>
      </x:c>
      <x:c r="W22" s="36" t="str">
        <x:v>1.00</x:v>
      </x:c>
      <x:c r="X22" s="39" t="str">
        <x:v>SalesRep.xlsx 这次只做月度合计趋势，按上次的 Total 行加折线图那种方式处理。</x:v>
      </x:c>
      <x:c r="Y22" s="39" t="str">
        <x:v>第1条记忆（中期/可复用模板）：在 SalesRep.xlsx 新增 Total 行计算每个月的总销售额，并以月份为横轴创建一张展示月度总额的折线图。关键约束：只制作月度总额折线图；横轴使用月份；不添加环比增长图。</x:v>
      </x:c>
      <x:c r="Z22" s="39" t="str">
        <x:v>不适用：当前题目不存在需要用户进一步选择的候选记忆。</x:v>
      </x:c>
      <x:c r="AA22"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AB22" s="39" t="str">
        <x:v>应执行以下操作：在 SalesRep.xlsx 新增 Total 行计算每个月的总销售额，并以月份为横轴创建一张展示月度总额的折线图。</x:v>
      </x:c>
      <x:c r="AC22" s="39" t="str">
        <x:v>第1项实际操作：在 SalesRep.xlsx 新增 Total 行计算每个月的总销售额，并以月份为横轴创建一张展示月度总额的折线图。执行时必须满足：只制作月度总额折线图；横轴使用月份；不添加环比增长图。</x:v>
      </x:c>
      <x:c r="AD22" s="39" t="str">
        <x:v>用户的完整请求是：“SalesRep.xlsx 这次只做月度合计趋势，按上次的 Total 行加折线图那种方式处理。”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x:v>
      </x:c>
      <x:c r="AE2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22" s="50" t="str">
        <x:v>not_pass</x:v>
      </x:c>
      <x:c r="AG22" s="50" t="n">
        <x:v>0</x:v>
      </x:c>
    </x:row>
    <x:row r="23" ht="202.5" customHeight="1">
      <x:c r="A23" s="35" t="str">
        <x:v>0a2e43bf-b26c-4631-a966-af9dfa12c9e5_HQ2</x:v>
      </x:c>
      <x:c r="B23" s="36" t="str">
        <x:v>SG_TASK_0a2e43bf-b26c-4631-a966-af9dfa12c9e5</x:v>
      </x:c>
      <x:c r="C23" s="36" t="str">
        <x:v>0a2e43bf-b26c-4631-a966-af9dfa12c9e5</x:v>
      </x:c>
      <x:c r="D23" s="36" t="str">
        <x:v>SalesRep.xlsx</x:v>
      </x:c>
      <x:c r="E23" s="36" t="str">
        <x:v>single_memory</x:v>
      </x:c>
      <x:c r="F23" s="36" t="str">
        <x:v>human_goal_oriented</x:v>
      </x:c>
      <x:c r="G23" s="36" t="str">
        <x:v>train</x:v>
      </x:c>
      <x:c r="H23" s="36" t="str">
        <x:v>中等</x:v>
      </x:c>
      <x:c r="I23" s="36" t="str">
        <x:v>0a2e43bf-b26c-4631-a966-af9dfa12c9e5</x:v>
      </x:c>
      <x:c r="J23" s="36" t="str">
        <x:v>CTX_0a2e43bf-b26c-4631-a966-af9dfa12c9e5</x:v>
      </x:c>
      <x:c r="K23" s="36" t="str">
        <x:v>MTM_0a2e43bf-b26c-4631-a966-af9dfa12c9e5</x:v>
      </x:c>
      <x:c r="L23" s="36" t="str"/>
      <x:c r="M23" s="36" t="str">
        <x:v>MTM_0326d92d-d218-48a8-9ca1-981cd6d064c7|MTM_26a8440e-c166-4c50-aef4-bfb77314b46b</x:v>
      </x:c>
      <x:c r="N23" s="36" t="str">
        <x:v>可复用模板</x:v>
      </x:c>
      <x:c r="O23" s="36" t="str">
        <x:v>中期</x:v>
      </x:c>
      <x:c r="P23" s="36" t="str">
        <x:v>["libreoffice_calc"]</x:v>
      </x:c>
      <x:c r="Q23" s="36" t="str">
        <x:v>[{"step_id":"S1","app":"libreoffice_calc","action_key":"build_monthly_total_line_chart","input_artifacts":["SalesRep.xlsx"],"output_artifacts":["SalesRep.xlsx"],"depends_on":[]}]</x:v>
      </x:c>
      <x:c r="R23" s="36" t="str">
        <x:v>[]</x:v>
      </x:c>
      <x:c r="S23" s="36" t="str">
        <x:v>build_monthly_total_line_chart</x:v>
      </x:c>
      <x:c r="T23" s="36" t="str">
        <x:v>SalesRep.xlsx</x:v>
      </x:c>
      <x:c r="U23" s="36" t="str">
        <x:v>retrieve_and_execute</x:v>
      </x:c>
      <x:c r="V23" s="36" t="str">
        <x:v>[{"point_id":"P1","description":"主要处理方式与预期动作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x:v>
      </x:c>
      <x:c r="W23" s="36" t="str">
        <x:v>1.00</x:v>
      </x:c>
      <x:c r="X23" s="39" t="str">
        <x:v>我想在周会上快速看每个月卖得怎么样，把各月总额算出来，再画一张按月份走的折线图。</x:v>
      </x:c>
      <x:c r="Y23" s="39" t="str">
        <x:v>第1条记忆（中期/可复用模板）：在 SalesRep.xlsx 新增 Total 行计算每个月的总销售额，并以月份为横轴创建一张展示月度总额的折线图。关键约束：只制作月度总额折线图；横轴使用月份；不添加环比增长图。</x:v>
      </x:c>
      <x:c r="Z23" s="39" t="str">
        <x:v>不适用：当前题目不存在需要用户进一步选择的候选记忆。</x:v>
      </x:c>
      <x:c r="AA23"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AB23" s="39" t="str">
        <x:v>应执行以下操作：在 SalesRep.xlsx 新增 Total 行计算每个月的总销售额，并以月份为横轴创建一张展示月度总额的折线图。</x:v>
      </x:c>
      <x:c r="AC23" s="39" t="str">
        <x:v>第1项实际操作：在 SalesRep.xlsx 新增 Total 行计算每个月的总销售额，并以月份为横轴创建一张展示月度总额的折线图。执行时必须满足：只制作月度总额折线图；横轴使用月份；不添加环比增长图。</x:v>
      </x:c>
      <x:c r="AD23" s="39" t="str">
        <x:v>用户的完整请求是：“我想在周会上快速看每个月卖得怎么样，把各月总额算出来，再画一张按月份走的折线图。”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x:v>
      </x:c>
      <x:c r="AE2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23" s="50" t="str">
        <x:v>not_pass</x:v>
      </x:c>
      <x:c r="AG23" s="50" t="n">
        <x:v>0</x:v>
      </x:c>
    </x:row>
    <x:row r="24" ht="202.5" customHeight="1">
      <x:c r="A24" s="35" t="str">
        <x:v>0a2e43bf-b26c-4631-a966-af9dfa12c9e5_HQ3</x:v>
      </x:c>
      <x:c r="B24" s="36" t="str">
        <x:v>SG_TASK_0a2e43bf-b26c-4631-a966-af9dfa12c9e5</x:v>
      </x:c>
      <x:c r="C24" s="36" t="str">
        <x:v>0a2e43bf-b26c-4631-a966-af9dfa12c9e5</x:v>
      </x:c>
      <x:c r="D24" s="36" t="str">
        <x:v>SalesRep.xlsx</x:v>
      </x:c>
      <x:c r="E24" s="36" t="str">
        <x:v>single_memory</x:v>
      </x:c>
      <x:c r="F24" s="36" t="str">
        <x:v>contextual_ellipsis</x:v>
      </x:c>
      <x:c r="G24" s="36" t="str">
        <x:v>train</x:v>
      </x:c>
      <x:c r="H24" s="36" t="str">
        <x:v>中等</x:v>
      </x:c>
      <x:c r="I24" s="36" t="str">
        <x:v>0a2e43bf-b26c-4631-a966-af9dfa12c9e5</x:v>
      </x:c>
      <x:c r="J24" s="36" t="str">
        <x:v>CTX_0a2e43bf-b26c-4631-a966-af9dfa12c9e5</x:v>
      </x:c>
      <x:c r="K24" s="36" t="str">
        <x:v>MTM_0a2e43bf-b26c-4631-a966-af9dfa12c9e5</x:v>
      </x:c>
      <x:c r="L24" s="36" t="str"/>
      <x:c r="M24" s="36" t="str">
        <x:v>MTM_0326d92d-d218-48a8-9ca1-981cd6d064c7|MTM_26a8440e-c166-4c50-aef4-bfb77314b46b</x:v>
      </x:c>
      <x:c r="N24" s="36" t="str">
        <x:v>可复用模板</x:v>
      </x:c>
      <x:c r="O24" s="36" t="str">
        <x:v>中期</x:v>
      </x:c>
      <x:c r="P24" s="36" t="str">
        <x:v>["libreoffice_calc"]</x:v>
      </x:c>
      <x:c r="Q24" s="36" t="str">
        <x:v>[{"step_id":"S1","app":"libreoffice_calc","action_key":"build_monthly_total_line_chart","input_artifacts":["SalesRep.xlsx"],"output_artifacts":["SalesRep.xlsx"],"depends_on":[]}]</x:v>
      </x:c>
      <x:c r="R24" s="36" t="str">
        <x:v>[]</x:v>
      </x:c>
      <x:c r="S24" s="36" t="str">
        <x:v>build_monthly_total_line_chart</x:v>
      </x:c>
      <x:c r="T24" s="36" t="str">
        <x:v>SalesRep.xlsx</x:v>
      </x:c>
      <x:c r="U24" s="36" t="str">
        <x:v>retrieve_and_execute</x:v>
      </x:c>
      <x:c r="V24" s="36" t="str">
        <x:v>[{"point_id":"P1","description":"主要处理方式与预期动作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x:v>
      </x:c>
      <x:c r="W24" s="36" t="str">
        <x:v>1.00</x:v>
      </x:c>
      <x:c r="X24" s="39" t="str">
        <x:v>当前销售表不用做增长率，只把每月合计和它的趋势线补上。</x:v>
      </x:c>
      <x:c r="Y24" s="39" t="str">
        <x:v>第1条记忆（中期/可复用模板）：在 SalesRep.xlsx 新增 Total 行计算每个月的总销售额，并以月份为横轴创建一张展示月度总额的折线图。关键约束：只制作月度总额折线图；横轴使用月份；不添加环比增长图。</x:v>
      </x:c>
      <x:c r="Z24" s="39" t="str">
        <x:v>不适用：当前题目不存在需要用户进一步选择的候选记忆。</x:v>
      </x:c>
      <x:c r="AA24"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AB24" s="39" t="str">
        <x:v>应执行以下操作：在 SalesRep.xlsx 新增 Total 行计算每个月的总销售额，并以月份为横轴创建一张展示月度总额的折线图。</x:v>
      </x:c>
      <x:c r="AC24" s="39" t="str">
        <x:v>第1项实际操作：在 SalesRep.xlsx 新增 Total 行计算每个月的总销售额，并以月份为横轴创建一张展示月度总额的折线图。执行时必须满足：只制作月度总额折线图；横轴使用月份；不添加环比增长图。</x:v>
      </x:c>
      <x:c r="AD24" s="39" t="str">
        <x:v>用户的完整请求是：“当前销售表不用做增长率，只把每月合计和它的趋势线补上。”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x:v>
      </x:c>
      <x:c r="AE2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24" s="50" t="str">
        <x:v>not_pass</x:v>
      </x:c>
      <x:c r="AG24" s="50" t="n">
        <x:v>0</x:v>
      </x:c>
    </x:row>
    <x:row r="25" ht="202.5" customHeight="1">
      <x:c r="A25" s="35" t="str">
        <x:v>0a2e43bf-b26c-4631-a966-af9dfa12c9e5_HQ4</x:v>
      </x:c>
      <x:c r="B25" s="36" t="str">
        <x:v>SG_TASK_0a2e43bf-b26c-4631-a966-af9dfa12c9e5</x:v>
      </x:c>
      <x:c r="C25" s="36" t="str">
        <x:v>0a2e43bf-b26c-4631-a966-af9dfa12c9e5</x:v>
      </x:c>
      <x:c r="D25" s="36" t="str">
        <x:v>SalesRep.xlsx</x:v>
      </x:c>
      <x:c r="E25" s="36" t="str">
        <x:v>single_memory</x:v>
      </x:c>
      <x:c r="F25" s="36" t="str">
        <x:v>low_overlap_paraphrase</x:v>
      </x:c>
      <x:c r="G25" s="36" t="str">
        <x:v>train</x:v>
      </x:c>
      <x:c r="H25" s="36" t="str">
        <x:v>困难</x:v>
      </x:c>
      <x:c r="I25" s="36" t="str">
        <x:v>0a2e43bf-b26c-4631-a966-af9dfa12c9e5</x:v>
      </x:c>
      <x:c r="J25" s="36" t="str">
        <x:v>CTX_0a2e43bf-b26c-4631-a966-af9dfa12c9e5</x:v>
      </x:c>
      <x:c r="K25" s="36" t="str">
        <x:v>MTM_0a2e43bf-b26c-4631-a966-af9dfa12c9e5</x:v>
      </x:c>
      <x:c r="L25" s="36" t="str"/>
      <x:c r="M25" s="36" t="str">
        <x:v>MTM_0326d92d-d218-48a8-9ca1-981cd6d064c7|MTM_26a8440e-c166-4c50-aef4-bfb77314b46b</x:v>
      </x:c>
      <x:c r="N25" s="36" t="str">
        <x:v>可复用模板</x:v>
      </x:c>
      <x:c r="O25" s="36" t="str">
        <x:v>中期</x:v>
      </x:c>
      <x:c r="P25" s="36" t="str">
        <x:v>["libreoffice_calc"]</x:v>
      </x:c>
      <x:c r="Q25" s="36" t="str">
        <x:v>[{"step_id":"S1","app":"libreoffice_calc","action_key":"build_monthly_total_line_chart","input_artifacts":["SalesRep.xlsx"],"output_artifacts":["SalesRep.xlsx"],"depends_on":[]}]</x:v>
      </x:c>
      <x:c r="R25" s="36" t="str">
        <x:v>[]</x:v>
      </x:c>
      <x:c r="S25" s="36" t="str">
        <x:v>build_monthly_total_line_chart</x:v>
      </x:c>
      <x:c r="T25" s="36" t="str">
        <x:v>SalesRep.xlsx</x:v>
      </x:c>
      <x:c r="U25" s="36" t="str">
        <x:v>retrieve_and_execute</x:v>
      </x:c>
      <x:c r="V25" s="36" t="str">
        <x:v>[{"point_id":"P1","description":"主要处理方式与预期动作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x:v>
      </x:c>
      <x:c r="W25" s="36" t="str">
        <x:v>1.00</x:v>
      </x:c>
      <x:c r="X25" s="39" t="str">
        <x:v>这份数据我只关心总量随月份怎么走，整理成一行合计再画趋势就行。</x:v>
      </x:c>
      <x:c r="Y25" s="39" t="str">
        <x:v>第1条记忆（中期/可复用模板）：在 SalesRep.xlsx 新增 Total 行计算每个月的总销售额，并以月份为横轴创建一张展示月度总额的折线图。关键约束：只制作月度总额折线图；横轴使用月份；不添加环比增长图。</x:v>
      </x:c>
      <x:c r="Z25" s="39" t="str">
        <x:v>不适用：当前题目不存在需要用户进一步选择的候选记忆。</x:v>
      </x:c>
      <x:c r="AA25"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AB25" s="39" t="str">
        <x:v>应执行以下操作：在 SalesRep.xlsx 新增 Total 行计算每个月的总销售额，并以月份为横轴创建一张展示月度总额的折线图。</x:v>
      </x:c>
      <x:c r="AC25" s="39" t="str">
        <x:v>第1项实际操作：在 SalesRep.xlsx 新增 Total 行计算每个月的总销售额，并以月份为横轴创建一张展示月度总额的折线图。执行时必须满足：只制作月度总额折线图；横轴使用月份；不添加环比增长图。</x:v>
      </x:c>
      <x:c r="AD25" s="39" t="str">
        <x:v>用户的完整请求是：“这份数据我只关心总量随月份怎么走，整理成一行合计再画趋势就行。”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x:v>
      </x:c>
      <x:c r="AE2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25" s="50" t="str">
        <x:v>not_pass</x:v>
      </x:c>
      <x:c r="AG25" s="50" t="n">
        <x:v>0</x:v>
      </x:c>
    </x:row>
    <x:row r="26" ht="202.5" customHeight="1">
      <x:c r="A26" s="35" t="str">
        <x:v>0a2e43bf-b26c-4631-a966-af9dfa12c9e5_HQ5</x:v>
      </x:c>
      <x:c r="B26" s="36" t="str">
        <x:v>SG_TASK_0a2e43bf-b26c-4631-a966-af9dfa12c9e5</x:v>
      </x:c>
      <x:c r="C26" s="36" t="str">
        <x:v>0a2e43bf-b26c-4631-a966-af9dfa12c9e5</x:v>
      </x:c>
      <x:c r="D26" s="36" t="str">
        <x:v>SalesRep.xlsx</x:v>
      </x:c>
      <x:c r="E26" s="36" t="str">
        <x:v>single_memory</x:v>
      </x:c>
      <x:c r="F26" s="36" t="str">
        <x:v>human_constraint_emphasis</x:v>
      </x:c>
      <x:c r="G26" s="36" t="str">
        <x:v>train</x:v>
      </x:c>
      <x:c r="H26" s="36" t="str">
        <x:v>困难</x:v>
      </x:c>
      <x:c r="I26" s="36" t="str">
        <x:v>0a2e43bf-b26c-4631-a966-af9dfa12c9e5</x:v>
      </x:c>
      <x:c r="J26" s="36" t="str">
        <x:v>CTX_0a2e43bf-b26c-4631-a966-af9dfa12c9e5</x:v>
      </x:c>
      <x:c r="K26" s="36" t="str">
        <x:v>MTM_0a2e43bf-b26c-4631-a966-af9dfa12c9e5</x:v>
      </x:c>
      <x:c r="L26" s="36" t="str"/>
      <x:c r="M26" s="36" t="str">
        <x:v>MTM_0326d92d-d218-48a8-9ca1-981cd6d064c7|MTM_26a8440e-c166-4c50-aef4-bfb77314b46b</x:v>
      </x:c>
      <x:c r="N26" s="36" t="str">
        <x:v>可复用模板</x:v>
      </x:c>
      <x:c r="O26" s="36" t="str">
        <x:v>中期</x:v>
      </x:c>
      <x:c r="P26" s="36" t="str">
        <x:v>["libreoffice_calc"]</x:v>
      </x:c>
      <x:c r="Q26" s="36" t="str">
        <x:v>[{"step_id":"S1","app":"libreoffice_calc","action_key":"build_monthly_total_line_chart","input_artifacts":["SalesRep.xlsx"],"output_artifacts":["SalesRep.xlsx"],"depends_on":[]}]</x:v>
      </x:c>
      <x:c r="R26" s="36" t="str">
        <x:v>[]</x:v>
      </x:c>
      <x:c r="S26" s="36" t="str">
        <x:v>build_monthly_total_line_chart</x:v>
      </x:c>
      <x:c r="T26" s="36" t="str">
        <x:v>SalesRep.xlsx</x:v>
      </x:c>
      <x:c r="U26" s="36" t="str">
        <x:v>retrieve_and_execute</x:v>
      </x:c>
      <x:c r="V26" s="36" t="str">
        <x:v>[{"point_id":"P1","description":"主要处理方式与预期动作 build_monthly_total_line_chart 语义一致","weight":0.4,"evidence_memory_ids":["MTM_0a2e43bf-b26c-4631-a966-af9dfa12c9e5"]},{"point_id":"P2","description":"正确定位目标对象 SalesRep.xlsx","weight":0.2,"evidence_memory_ids":["MTM_0a2e43bf-b26c-4631-a966-af9dfa12c9e5"]},{"point_id":"P3","description":"满足关键条件：只制作月度总额折线图；横轴使用月份；不添加环比增长图","weight":0.3,"evidence_memory_ids":["MTM_0a2e43bf-b26c-4631-a966-af9dfa12c9e5"]},{"point_id":"P4","description":"不采用禁止记忆中的冲突方案","weight":0.1,"evidence_memory_ids":["MTM_0a2e43bf-b26c-4631-a966-af9dfa12c9e5","MTM_0326d92d-d218-48a8-9ca1-981cd6d064c7","MTM_26a8440e-c166-4c50-aef4-bfb77314b46b"]}]</x:v>
      </x:c>
      <x:c r="W26" s="36" t="str">
        <x:v>1.00</x:v>
      </x:c>
      <x:c r="X26" s="39" t="str">
        <x:v>SalesRep 还是月度 Total 加折线图，横轴按月份，别混进另一套环比分析。</x:v>
      </x:c>
      <x:c r="Y26" s="39" t="str">
        <x:v>第1条记忆（中期/可复用模板）：在 SalesRep.xlsx 新增 Total 行计算每个月的总销售额，并以月份为横轴创建一张展示月度总额的折线图。关键约束：只制作月度总额折线图；横轴使用月份；不添加环比增长图。</x:v>
      </x:c>
      <x:c r="Z26" s="39" t="str">
        <x:v>不适用：当前题目不存在需要用户进一步选择的候选记忆。</x:v>
      </x:c>
      <x:c r="AA26"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AB26" s="39" t="str">
        <x:v>应执行以下操作：在 SalesRep.xlsx 新增 Total 行计算每个月的总销售额，并以月份为横轴创建一张展示月度总额的折线图。</x:v>
      </x:c>
      <x:c r="AC26" s="39" t="str">
        <x:v>第1项实际操作：在 SalesRep.xlsx 新增 Total 行计算每个月的总销售额，并以月份为横轴创建一张展示月度总额的折线图。执行时必须满足：只制作月度总额折线图；横轴使用月份；不添加环比增长图。</x:v>
      </x:c>
      <x:c r="AD26" s="39" t="str">
        <x:v>用户的完整请求是：“SalesRep 还是月度 Total 加折线图，横轴按月份，别混进另一套环比分析。” 第1个当前上下文：SalesRep.xlsx 已在 LibreOffice Calc 中打开。 当前请求是在已有办公上下文中继续、复用或重新强调既有处理方式。与该请求唯一对应的完整必需记忆如下：
第1条记忆（中期/可复用模板）：在 SalesRep.xlsx 新增 Total 行计算每个月的总销售额，并以月份为横轴创建一张展示月度总额的折线图。关键约束：只制作月度总额折线图；横轴使用月份；不添加环比增长图。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新增 Total 行计算每个月的总销售额，并以月份为横轴创建一张展示月度总额的折线图。”</x:v>
      </x:c>
      <x:c r="AE2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第2个得分点（0.20分）：正确定位目标对象 SalesRep.xlsx。该得分点所依据的完整证据为：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第3个得分点（0.30分）：满足关键条件：只制作月度总额折线图；横轴使用月份；不添加环比增长图。该得分点所依据的完整证据为：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第4个得分点（0.10分）：不采用禁止记忆中的冲突方案。该得分点所依据的完整证据为：
第1条记忆（中期/可复用模板）：在 SalesRep.xlsx 新增 Total 行计算每个月的总销售额，并以月份为横轴创建一张展示月度总额的折线图。关键约束：只制作月度总额折线图；横轴使用月份；不添加环比增长图。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26" s="50" t="str">
        <x:v>not_pass</x:v>
      </x:c>
      <x:c r="AG26" s="50" t="n">
        <x:v>0</x:v>
      </x:c>
    </x:row>
    <x:row r="27" ht="175.5" customHeight="1">
      <x:c r="A27" s="35" t="str">
        <x:v>0bf05a7d-b28b-44d2-955a-50b41e24012a_HQ1</x:v>
      </x:c>
      <x:c r="B27" s="36" t="str">
        <x:v>SG_TASK_0bf05a7d-b28b-44d2-955a-50b41e24012a</x:v>
      </x:c>
      <x:c r="C27" s="36" t="str">
        <x:v>0bf05a7d-b28b-44d2-955a-50b41e24012a</x:v>
      </x:c>
      <x:c r="D27" s="36" t="str">
        <x:v>Customers_New_7digit_Id.xlsx</x:v>
      </x:c>
      <x:c r="E27" s="36" t="str">
        <x:v>single_memory</x:v>
      </x:c>
      <x:c r="F27" s="36" t="str">
        <x:v>human_context_explicit</x:v>
      </x:c>
      <x:c r="G27" s="36" t="str">
        <x:v>train</x:v>
      </x:c>
      <x:c r="H27" s="36" t="str">
        <x:v>简单</x:v>
      </x:c>
      <x:c r="I27" s="36" t="str">
        <x:v>0bf05a7d-b28b-44d2-955a-50b41e24012a</x:v>
      </x:c>
      <x:c r="J27" s="36" t="str">
        <x:v>CTX_0bf05a7d-b28b-44d2-955a-50b41e24012a</x:v>
      </x:c>
      <x:c r="K27" s="36" t="str">
        <x:v>LTM_0bf05a7d-b28b-44d2-955a-50b41e24012a</x:v>
      </x:c>
      <x:c r="L27" s="36" t="str"/>
      <x:c r="M27" s="36" t="str"/>
      <x:c r="N27" s="36" t="str">
        <x:v>工作流程</x:v>
      </x:c>
      <x:c r="O27" s="36" t="str">
        <x:v>长期</x:v>
      </x:c>
      <x:c r="P27" s="36" t="str">
        <x:v>["libreoffice_calc"]</x:v>
      </x:c>
      <x:c r="Q27" s="36" t="str">
        <x:v>[{"step_id":"S1","app":"libreoffice_calc","action_key":"pad_customer_ids_to_seven_digits","input_artifacts":["Customers_New_7digit_Id.xlsx"],"output_artifacts":["[\"Customers_New_7digit_Id.xlsx\",\"Customers_New_7digit_Id-Sheet1.csv\"]"],"depends_on":[]}]</x:v>
      </x:c>
      <x:c r="R27" s="36" t="str">
        <x:v>[]</x:v>
      </x:c>
      <x:c r="S27" s="36" t="str">
        <x:v>pad_customer_ids_to_seven_digits</x:v>
      </x:c>
      <x:c r="T27" s="36" t="str">
        <x:v>Customers_New_7digit_Id.xlsx</x:v>
      </x:c>
      <x:c r="U27" s="36" t="str">
        <x:v>retrieve_and_execute</x:v>
      </x:c>
      <x:c r="V27" s="36" t="str">
        <x:v>[{"point_id":"P1","description":"主要处理方式与预期动作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x:v>
      </x:c>
      <x:c r="W27" s="36" t="str">
        <x:v>1.00</x:v>
      </x:c>
      <x:c r="X27" s="39" t="str">
        <x:v>Customers_New_7digit_Id.xlsx 要导入系统了，按以前的规则把旧编号补成七位放到新编号列，其他地方别动。</x:v>
      </x:c>
      <x:c r="Y27" s="39" t="str">
        <x:v>第1条记忆（长期/工作流程）：把 Customers_New_7digit_Id.xlsx 中 Old ID 列的编号复制到 New 7 Digit Id 列，并在前面补零，使每个编号恰好为 7 位。关键约束：保留 Old ID；新编号必须为 7 位；不修改无关区域。</x:v>
      </x:c>
      <x:c r="Z27" s="39" t="str">
        <x:v>不适用：当前题目不存在需要用户进一步选择的候选记忆。</x:v>
      </x:c>
      <x:c r="AA27" s="39" t="str">
        <x:v>不适用：当前题目没有指定需要排除的冲突或禁止记忆。</x:v>
      </x:c>
      <x:c r="AB27" s="39" t="str">
        <x:v>应执行以下操作：把 Customers_New_7digit_Id.xlsx 中 Old ID 列的编号复制到 New 7 Digit Id 列，并在前面补零，使每个编号恰好为 7 位。</x:v>
      </x:c>
      <x:c r="AC27" s="39" t="str">
        <x:v>第1项实际操作：把 Customers_New_7digit_Id.xlsx 中 Old ID 列的编号复制到 New 7 Digit Id 列，并在前面补零，使每个编号恰好为 7 位。执行时必须满足：保留 Old ID；新编号必须为 7 位；不修改无关区域。</x:v>
      </x:c>
      <x:c r="AD27" s="39" t="str">
        <x:v>用户的完整请求是：“Customers_New_7digit_Id.xlsx 要导入系统了，按以前的规则把旧编号补成七位放到新编号列，其他地方别动。”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x:v>
      </x:c>
      <x:c r="AE2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x:v>
      </x:c>
      <x:c r="AF27" s="50" t="str">
        <x:v>not_pass</x:v>
      </x:c>
      <x:c r="AG27" s="50" t="n">
        <x:v>0</x:v>
      </x:c>
    </x:row>
    <x:row r="28" ht="175.5" customHeight="1">
      <x:c r="A28" s="35" t="str">
        <x:v>0bf05a7d-b28b-44d2-955a-50b41e24012a_HQ2</x:v>
      </x:c>
      <x:c r="B28" s="36" t="str">
        <x:v>SG_TASK_0bf05a7d-b28b-44d2-955a-50b41e24012a</x:v>
      </x:c>
      <x:c r="C28" s="36" t="str">
        <x:v>0bf05a7d-b28b-44d2-955a-50b41e24012a</x:v>
      </x:c>
      <x:c r="D28" s="36" t="str">
        <x:v>Customers_New_7digit_Id.xlsx</x:v>
      </x:c>
      <x:c r="E28" s="36" t="str">
        <x:v>single_memory</x:v>
      </x:c>
      <x:c r="F28" s="36" t="str">
        <x:v>human_goal_oriented</x:v>
      </x:c>
      <x:c r="G28" s="36" t="str">
        <x:v>train</x:v>
      </x:c>
      <x:c r="H28" s="36" t="str">
        <x:v>中等</x:v>
      </x:c>
      <x:c r="I28" s="36" t="str">
        <x:v>0bf05a7d-b28b-44d2-955a-50b41e24012a</x:v>
      </x:c>
      <x:c r="J28" s="36" t="str">
        <x:v>CTX_0bf05a7d-b28b-44d2-955a-50b41e24012a</x:v>
      </x:c>
      <x:c r="K28" s="36" t="str">
        <x:v>LTM_0bf05a7d-b28b-44d2-955a-50b41e24012a</x:v>
      </x:c>
      <x:c r="L28" s="36" t="str"/>
      <x:c r="M28" s="36" t="str"/>
      <x:c r="N28" s="36" t="str">
        <x:v>工作流程</x:v>
      </x:c>
      <x:c r="O28" s="36" t="str">
        <x:v>长期</x:v>
      </x:c>
      <x:c r="P28" s="36" t="str">
        <x:v>["libreoffice_calc"]</x:v>
      </x:c>
      <x:c r="Q28" s="36" t="str">
        <x:v>[{"step_id":"S1","app":"libreoffice_calc","action_key":"pad_customer_ids_to_seven_digits","input_artifacts":["Customers_New_7digit_Id.xlsx"],"output_artifacts":["[\"Customers_New_7digit_Id.xlsx\",\"Customers_New_7digit_Id-Sheet1.csv\"]"],"depends_on":[]}]</x:v>
      </x:c>
      <x:c r="R28" s="36" t="str">
        <x:v>[]</x:v>
      </x:c>
      <x:c r="S28" s="36" t="str">
        <x:v>pad_customer_ids_to_seven_digits</x:v>
      </x:c>
      <x:c r="T28" s="36" t="str">
        <x:v>Customers_New_7digit_Id.xlsx</x:v>
      </x:c>
      <x:c r="U28" s="36" t="str">
        <x:v>retrieve_and_execute</x:v>
      </x:c>
      <x:c r="V28" s="36" t="str">
        <x:v>[{"point_id":"P1","description":"主要处理方式与预期动作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x:v>
      </x:c>
      <x:c r="W28" s="36" t="str">
        <x:v>1.00</x:v>
      </x:c>
      <x:c r="X28" s="39" t="str">
        <x:v>客户编号长度不统一，麻烦沿用旧ID，在前面补零凑够7位，再写进 New 7 Digit Id。</x:v>
      </x:c>
      <x:c r="Y28" s="39" t="str">
        <x:v>第1条记忆（长期/工作流程）：把 Customers_New_7digit_Id.xlsx 中 Old ID 列的编号复制到 New 7 Digit Id 列，并在前面补零，使每个编号恰好为 7 位。关键约束：保留 Old ID；新编号必须为 7 位；不修改无关区域。</x:v>
      </x:c>
      <x:c r="Z28" s="39" t="str">
        <x:v>不适用：当前题目不存在需要用户进一步选择的候选记忆。</x:v>
      </x:c>
      <x:c r="AA28" s="39" t="str">
        <x:v>不适用：当前题目没有指定需要排除的冲突或禁止记忆。</x:v>
      </x:c>
      <x:c r="AB28" s="39" t="str">
        <x:v>应执行以下操作：把 Customers_New_7digit_Id.xlsx 中 Old ID 列的编号复制到 New 7 Digit Id 列，并在前面补零，使每个编号恰好为 7 位。</x:v>
      </x:c>
      <x:c r="AC28" s="39" t="str">
        <x:v>第1项实际操作：把 Customers_New_7digit_Id.xlsx 中 Old ID 列的编号复制到 New 7 Digit Id 列，并在前面补零，使每个编号恰好为 7 位。执行时必须满足：保留 Old ID；新编号必须为 7 位；不修改无关区域。</x:v>
      </x:c>
      <x:c r="AD28" s="39" t="str">
        <x:v>用户的完整请求是：“客户编号长度不统一，麻烦沿用旧ID，在前面补零凑够7位，再写进 New 7 Digit Id。”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x:v>
      </x:c>
      <x:c r="AE2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x:v>
      </x:c>
      <x:c r="AF28" s="50" t="str">
        <x:v>not_pass</x:v>
      </x:c>
      <x:c r="AG28" s="50" t="n">
        <x:v>0</x:v>
      </x:c>
    </x:row>
    <x:row r="29" ht="175.5" customHeight="1">
      <x:c r="A29" s="35" t="str">
        <x:v>0bf05a7d-b28b-44d2-955a-50b41e24012a_HQ3</x:v>
      </x:c>
      <x:c r="B29" s="36" t="str">
        <x:v>SG_TASK_0bf05a7d-b28b-44d2-955a-50b41e24012a</x:v>
      </x:c>
      <x:c r="C29" s="36" t="str">
        <x:v>0bf05a7d-b28b-44d2-955a-50b41e24012a</x:v>
      </x:c>
      <x:c r="D29" s="36" t="str">
        <x:v>Customers_New_7digit_Id.xlsx</x:v>
      </x:c>
      <x:c r="E29" s="36" t="str">
        <x:v>single_memory</x:v>
      </x:c>
      <x:c r="F29" s="36" t="str">
        <x:v>contextual_ellipsis</x:v>
      </x:c>
      <x:c r="G29" s="36" t="str">
        <x:v>train</x:v>
      </x:c>
      <x:c r="H29" s="36" t="str">
        <x:v>中等</x:v>
      </x:c>
      <x:c r="I29" s="36" t="str">
        <x:v>0bf05a7d-b28b-44d2-955a-50b41e24012a</x:v>
      </x:c>
      <x:c r="J29" s="36" t="str">
        <x:v>CTX_0bf05a7d-b28b-44d2-955a-50b41e24012a</x:v>
      </x:c>
      <x:c r="K29" s="36" t="str">
        <x:v>LTM_0bf05a7d-b28b-44d2-955a-50b41e24012a</x:v>
      </x:c>
      <x:c r="L29" s="36" t="str"/>
      <x:c r="M29" s="36" t="str"/>
      <x:c r="N29" s="36" t="str">
        <x:v>工作流程</x:v>
      </x:c>
      <x:c r="O29" s="36" t="str">
        <x:v>长期</x:v>
      </x:c>
      <x:c r="P29" s="36" t="str">
        <x:v>["libreoffice_calc"]</x:v>
      </x:c>
      <x:c r="Q29" s="36" t="str">
        <x:v>[{"step_id":"S1","app":"libreoffice_calc","action_key":"pad_customer_ids_to_seven_digits","input_artifacts":["Customers_New_7digit_Id.xlsx"],"output_artifacts":["[\"Customers_New_7digit_Id.xlsx\",\"Customers_New_7digit_Id-Sheet1.csv\"]"],"depends_on":[]}]</x:v>
      </x:c>
      <x:c r="R29" s="36" t="str">
        <x:v>[]</x:v>
      </x:c>
      <x:c r="S29" s="36" t="str">
        <x:v>pad_customer_ids_to_seven_digits</x:v>
      </x:c>
      <x:c r="T29" s="36" t="str">
        <x:v>Customers_New_7digit_Id.xlsx</x:v>
      </x:c>
      <x:c r="U29" s="36" t="str">
        <x:v>retrieve_and_execute</x:v>
      </x:c>
      <x:c r="V29" s="36" t="str">
        <x:v>[{"point_id":"P1","description":"主要处理方式与预期动作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x:v>
      </x:c>
      <x:c r="W29" s="36" t="str">
        <x:v>1.00</x:v>
      </x:c>
      <x:c r="X29" s="39" t="str">
        <x:v>这张客户表继续做编号标准化，原编号保留，新列统一七位。</x:v>
      </x:c>
      <x:c r="Y29" s="39" t="str">
        <x:v>第1条记忆（长期/工作流程）：把 Customers_New_7digit_Id.xlsx 中 Old ID 列的编号复制到 New 7 Digit Id 列，并在前面补零，使每个编号恰好为 7 位。关键约束：保留 Old ID；新编号必须为 7 位；不修改无关区域。</x:v>
      </x:c>
      <x:c r="Z29" s="39" t="str">
        <x:v>不适用：当前题目不存在需要用户进一步选择的候选记忆。</x:v>
      </x:c>
      <x:c r="AA29" s="39" t="str">
        <x:v>不适用：当前题目没有指定需要排除的冲突或禁止记忆。</x:v>
      </x:c>
      <x:c r="AB29" s="39" t="str">
        <x:v>应执行以下操作：把 Customers_New_7digit_Id.xlsx 中 Old ID 列的编号复制到 New 7 Digit Id 列，并在前面补零，使每个编号恰好为 7 位。</x:v>
      </x:c>
      <x:c r="AC29" s="39" t="str">
        <x:v>第1项实际操作：把 Customers_New_7digit_Id.xlsx 中 Old ID 列的编号复制到 New 7 Digit Id 列，并在前面补零，使每个编号恰好为 7 位。执行时必须满足：保留 Old ID；新编号必须为 7 位；不修改无关区域。</x:v>
      </x:c>
      <x:c r="AD29" s="39" t="str">
        <x:v>用户的完整请求是：“这张客户表继续做编号标准化，原编号保留，新列统一七位。”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x:v>
      </x:c>
      <x:c r="AE2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x:v>
      </x:c>
      <x:c r="AF29" s="50" t="str">
        <x:v>not_pass</x:v>
      </x:c>
      <x:c r="AG29" s="50" t="n">
        <x:v>0</x:v>
      </x:c>
    </x:row>
    <x:row r="30" ht="175.5" customHeight="1">
      <x:c r="A30" s="35" t="str">
        <x:v>0bf05a7d-b28b-44d2-955a-50b41e24012a_HQ4</x:v>
      </x:c>
      <x:c r="B30" s="36" t="str">
        <x:v>SG_TASK_0bf05a7d-b28b-44d2-955a-50b41e24012a</x:v>
      </x:c>
      <x:c r="C30" s="36" t="str">
        <x:v>0bf05a7d-b28b-44d2-955a-50b41e24012a</x:v>
      </x:c>
      <x:c r="D30" s="36" t="str">
        <x:v>Customers_New_7digit_Id.xlsx</x:v>
      </x:c>
      <x:c r="E30" s="36" t="str">
        <x:v>single_memory</x:v>
      </x:c>
      <x:c r="F30" s="36" t="str">
        <x:v>low_overlap_paraphrase</x:v>
      </x:c>
      <x:c r="G30" s="36" t="str">
        <x:v>train</x:v>
      </x:c>
      <x:c r="H30" s="36" t="str">
        <x:v>困难</x:v>
      </x:c>
      <x:c r="I30" s="36" t="str">
        <x:v>0bf05a7d-b28b-44d2-955a-50b41e24012a</x:v>
      </x:c>
      <x:c r="J30" s="36" t="str">
        <x:v>CTX_0bf05a7d-b28b-44d2-955a-50b41e24012a</x:v>
      </x:c>
      <x:c r="K30" s="36" t="str">
        <x:v>LTM_0bf05a7d-b28b-44d2-955a-50b41e24012a</x:v>
      </x:c>
      <x:c r="L30" s="36" t="str"/>
      <x:c r="M30" s="36" t="str"/>
      <x:c r="N30" s="36" t="str">
        <x:v>工作流程</x:v>
      </x:c>
      <x:c r="O30" s="36" t="str">
        <x:v>长期</x:v>
      </x:c>
      <x:c r="P30" s="36" t="str">
        <x:v>["libreoffice_calc"]</x:v>
      </x:c>
      <x:c r="Q30" s="36" t="str">
        <x:v>[{"step_id":"S1","app":"libreoffice_calc","action_key":"pad_customer_ids_to_seven_digits","input_artifacts":["Customers_New_7digit_Id.xlsx"],"output_artifacts":["[\"Customers_New_7digit_Id.xlsx\",\"Customers_New_7digit_Id-Sheet1.csv\"]"],"depends_on":[]}]</x:v>
      </x:c>
      <x:c r="R30" s="36" t="str">
        <x:v>[]</x:v>
      </x:c>
      <x:c r="S30" s="36" t="str">
        <x:v>pad_customer_ids_to_seven_digits</x:v>
      </x:c>
      <x:c r="T30" s="36" t="str">
        <x:v>Customers_New_7digit_Id.xlsx</x:v>
      </x:c>
      <x:c r="U30" s="36" t="str">
        <x:v>retrieve_and_execute</x:v>
      </x:c>
      <x:c r="V30" s="36" t="str">
        <x:v>[{"point_id":"P1","description":"主要处理方式与预期动作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x:v>
      </x:c>
      <x:c r="W30" s="36" t="str">
        <x:v>1.00</x:v>
      </x:c>
      <x:c r="X30" s="39" t="str">
        <x:v>导入前我得把短编号补齐，但不能改掉原值；按之前那套在新列生成即可。</x:v>
      </x:c>
      <x:c r="Y30" s="39" t="str">
        <x:v>第1条记忆（长期/工作流程）：把 Customers_New_7digit_Id.xlsx 中 Old ID 列的编号复制到 New 7 Digit Id 列，并在前面补零，使每个编号恰好为 7 位。关键约束：保留 Old ID；新编号必须为 7 位；不修改无关区域。</x:v>
      </x:c>
      <x:c r="Z30" s="39" t="str">
        <x:v>不适用：当前题目不存在需要用户进一步选择的候选记忆。</x:v>
      </x:c>
      <x:c r="AA30" s="39" t="str">
        <x:v>不适用：当前题目没有指定需要排除的冲突或禁止记忆。</x:v>
      </x:c>
      <x:c r="AB30" s="39" t="str">
        <x:v>应执行以下操作：把 Customers_New_7digit_Id.xlsx 中 Old ID 列的编号复制到 New 7 Digit Id 列，并在前面补零，使每个编号恰好为 7 位。</x:v>
      </x:c>
      <x:c r="AC30" s="39" t="str">
        <x:v>第1项实际操作：把 Customers_New_7digit_Id.xlsx 中 Old ID 列的编号复制到 New 7 Digit Id 列，并在前面补零，使每个编号恰好为 7 位。执行时必须满足：保留 Old ID；新编号必须为 7 位；不修改无关区域。</x:v>
      </x:c>
      <x:c r="AD30" s="39" t="str">
        <x:v>用户的完整请求是：“导入前我得把短编号补齐，但不能改掉原值；按之前那套在新列生成即可。”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x:v>
      </x:c>
      <x:c r="AE3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x:v>
      </x:c>
      <x:c r="AF30" s="50" t="str">
        <x:v>not_pass</x:v>
      </x:c>
      <x:c r="AG30" s="50" t="n">
        <x:v>0</x:v>
      </x:c>
    </x:row>
    <x:row r="31" ht="175.5" customHeight="1">
      <x:c r="A31" s="35" t="str">
        <x:v>0bf05a7d-b28b-44d2-955a-50b41e24012a_HQ5</x:v>
      </x:c>
      <x:c r="B31" s="36" t="str">
        <x:v>SG_TASK_0bf05a7d-b28b-44d2-955a-50b41e24012a</x:v>
      </x:c>
      <x:c r="C31" s="36" t="str">
        <x:v>0bf05a7d-b28b-44d2-955a-50b41e24012a</x:v>
      </x:c>
      <x:c r="D31" s="36" t="str">
        <x:v>Customers_New_7digit_Id.xlsx</x:v>
      </x:c>
      <x:c r="E31" s="36" t="str">
        <x:v>single_memory</x:v>
      </x:c>
      <x:c r="F31" s="36" t="str">
        <x:v>human_constraint_emphasis</x:v>
      </x:c>
      <x:c r="G31" s="36" t="str">
        <x:v>train</x:v>
      </x:c>
      <x:c r="H31" s="36" t="str">
        <x:v>困难</x:v>
      </x:c>
      <x:c r="I31" s="36" t="str">
        <x:v>0bf05a7d-b28b-44d2-955a-50b41e24012a</x:v>
      </x:c>
      <x:c r="J31" s="36" t="str">
        <x:v>CTX_0bf05a7d-b28b-44d2-955a-50b41e24012a</x:v>
      </x:c>
      <x:c r="K31" s="36" t="str">
        <x:v>LTM_0bf05a7d-b28b-44d2-955a-50b41e24012a</x:v>
      </x:c>
      <x:c r="L31" s="36" t="str"/>
      <x:c r="M31" s="36" t="str"/>
      <x:c r="N31" s="36" t="str">
        <x:v>工作流程</x:v>
      </x:c>
      <x:c r="O31" s="36" t="str">
        <x:v>长期</x:v>
      </x:c>
      <x:c r="P31" s="36" t="str">
        <x:v>["libreoffice_calc"]</x:v>
      </x:c>
      <x:c r="Q31" s="36" t="str">
        <x:v>[{"step_id":"S1","app":"libreoffice_calc","action_key":"pad_customer_ids_to_seven_digits","input_artifacts":["Customers_New_7digit_Id.xlsx"],"output_artifacts":["[\"Customers_New_7digit_Id.xlsx\",\"Customers_New_7digit_Id-Sheet1.csv\"]"],"depends_on":[]}]</x:v>
      </x:c>
      <x:c r="R31" s="36" t="str">
        <x:v>[]</x:v>
      </x:c>
      <x:c r="S31" s="36" t="str">
        <x:v>pad_customer_ids_to_seven_digits</x:v>
      </x:c>
      <x:c r="T31" s="36" t="str">
        <x:v>Customers_New_7digit_Id.xlsx</x:v>
      </x:c>
      <x:c r="U31" s="36" t="str">
        <x:v>retrieve_and_execute</x:v>
      </x:c>
      <x:c r="V31" s="36" t="str">
        <x:v>[{"point_id":"P1","description":"主要处理方式与预期动作 pad_customer_ids_to_seven_digits 语义一致","weight":0.4,"evidence_memory_ids":["LTM_0bf05a7d-b28b-44d2-955a-50b41e24012a"]},{"point_id":"P2","description":"正确定位目标对象 Customers_New_7digit_Id.xlsx","weight":0.2,"evidence_memory_ids":["LTM_0bf05a7d-b28b-44d2-955a-50b41e24012a"]},{"point_id":"P3","description":"满足关键条件：保留 Old ID；新编号必须为 7 位；不修改无关区域","weight":0.3,"evidence_memory_ids":["LTM_0bf05a7d-b28b-44d2-955a-50b41e24012a"]},{"point_id":"P4","description":"不增加无记忆证据支持的操作","weight":0.1,"evidence_memory_ids":["LTM_0bf05a7d-b28b-44d2-955a-50b41e24012a"]}]</x:v>
      </x:c>
      <x:c r="W31" s="36" t="str">
        <x:v>1.00</x:v>
      </x:c>
      <x:c r="X31" s="39" t="str">
        <x:v>Old ID 还是复制到新列后左侧补零，保证每条都是七位，别处理无关空格。</x:v>
      </x:c>
      <x:c r="Y31" s="39" t="str">
        <x:v>第1条记忆（长期/工作流程）：把 Customers_New_7digit_Id.xlsx 中 Old ID 列的编号复制到 New 7 Digit Id 列，并在前面补零，使每个编号恰好为 7 位。关键约束：保留 Old ID；新编号必须为 7 位；不修改无关区域。</x:v>
      </x:c>
      <x:c r="Z31" s="39" t="str">
        <x:v>不适用：当前题目不存在需要用户进一步选择的候选记忆。</x:v>
      </x:c>
      <x:c r="AA31" s="39" t="str">
        <x:v>不适用：当前题目没有指定需要排除的冲突或禁止记忆。</x:v>
      </x:c>
      <x:c r="AB31" s="39" t="str">
        <x:v>应执行以下操作：把 Customers_New_7digit_Id.xlsx 中 Old ID 列的编号复制到 New 7 Digit Id 列，并在前面补零，使每个编号恰好为 7 位。</x:v>
      </x:c>
      <x:c r="AC31" s="39" t="str">
        <x:v>第1项实际操作：把 Customers_New_7digit_Id.xlsx 中 Old ID 列的编号复制到 New 7 Digit Id 列，并在前面补零，使每个编号恰好为 7 位。执行时必须满足：保留 Old ID；新编号必须为 7 位；不修改无关区域。</x:v>
      </x:c>
      <x:c r="AD31" s="39" t="str">
        <x:v>用户的完整请求是：“Old ID 还是复制到新列后左侧补零，保证每条都是七位，别处理无关空格。” 第1个当前上下文：Customers_New_7digit_Id.xlsx 已在 LibreOffice Calc 中打开。 当前请求是在已有办公上下文中继续、复用或重新强调既有处理方式。与该请求唯一对应的完整必需记忆如下：
第1条记忆（长期/工作流程）：把 Customers_New_7digit_Id.xlsx 中 Old ID 列的编号复制到 New 7 Digit Id 列，并在前面补零，使每个编号恰好为 7 位。关键约束：保留 Old ID；新编号必须为 7 位；不修改无关区域。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Customers_New_7digit_Id.xlsx 中 Old ID 列的编号复制到 New 7 Digit Id 列，并在前面补零，使每个编号恰好为 7 位。”</x:v>
      </x:c>
      <x:c r="AE3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第2个得分点（0.20分）：正确定位目标对象 Customers_New_7digit_Id.xlsx。该得分点所依据的完整证据为：
第1条记忆（长期/工作流程）：把 Customers_New_7digit_Id.xlsx 中 Old ID 列的编号复制到 New 7 Digit Id 列，并在前面补零，使每个编号恰好为 7 位。关键约束：保留 Old ID；新编号必须为 7 位；不修改无关区域。
第3个得分点（0.30分）：满足关键条件：保留 Old ID；新编号必须为 7 位；不修改无关区域。该得分点所依据的完整证据为：
第1条记忆（长期/工作流程）：把 Customers_New_7digit_Id.xlsx 中 Old ID 列的编号复制到 New 7 Digit Id 列，并在前面补零，使每个编号恰好为 7 位。关键约束：保留 Old ID；新编号必须为 7 位；不修改无关区域。
第4个得分点（0.10分）：不增加无记忆证据支持的操作。该得分点所依据的完整证据为：
第1条记忆（长期/工作流程）：把 Customers_New_7digit_Id.xlsx 中 Old ID 列的编号复制到 New 7 Digit Id 列，并在前面补零，使每个编号恰好为 7 位。关键约束：保留 Old ID；新编号必须为 7 位；不修改无关区域。
人工复审时，应依据模型最终给出的信息和实际操作是否满足上述每个得分点分别给分；只命中记忆 ID 但没有形成对应结论不能获得该结论分，形成了正确结论但表达方式不同则不应扣分。</x:v>
      </x:c>
      <x:c r="AF31" s="50" t="str">
        <x:v>not_pass</x:v>
      </x:c>
      <x:c r="AG31" s="50" t="n">
        <x:v>0</x:v>
      </x:c>
    </x:row>
    <x:row r="32" ht="202.5" customHeight="1">
      <x:c r="A32" s="35" t="str">
        <x:v>0cecd4f3-74de-457b-ba94-29ad6b5dafb6_HQ1</x:v>
      </x:c>
      <x:c r="B32" s="36" t="str">
        <x:v>SG_TASK_0cecd4f3-74de-457b-ba94-29ad6b5dafb6</x:v>
      </x:c>
      <x:c r="C32" s="36" t="str">
        <x:v>0cecd4f3-74de-457b-ba94-29ad6b5dafb6</x:v>
      </x:c>
      <x:c r="D32" s="36" t="str">
        <x:v>copy_sheet_insert.xlsx</x:v>
      </x:c>
      <x:c r="E32" s="36" t="str">
        <x:v>single_memory</x:v>
      </x:c>
      <x:c r="F32" s="36" t="str">
        <x:v>human_context_explicit</x:v>
      </x:c>
      <x:c r="G32" s="36" t="str">
        <x:v>train</x:v>
      </x:c>
      <x:c r="H32" s="36" t="str">
        <x:v>简单</x:v>
      </x:c>
      <x:c r="I32" s="36" t="str">
        <x:v>0cecd4f3-74de-457b-ba94-29ad6b5dafb6</x:v>
      </x:c>
      <x:c r="J32" s="36" t="str">
        <x:v>CTX_0cecd4f3-74de-457b-ba94-29ad6b5dafb6</x:v>
      </x:c>
      <x:c r="K32" s="36" t="str">
        <x:v>STM_0cecd4f3-74de-457b-ba94-29ad6b5dafb6</x:v>
      </x:c>
      <x:c r="L32" s="36" t="str"/>
      <x:c r="M32" s="36" t="str"/>
      <x:c r="N32" s="36" t="str">
        <x:v>工作流程</x:v>
      </x:c>
      <x:c r="O32" s="36" t="str">
        <x:v>短期</x:v>
      </x:c>
      <x:c r="P32" s="36" t="str">
        <x:v>["libreoffice_calc"]</x:v>
      </x:c>
      <x:c r="Q32" s="36" t="str">
        <x:v>[{"step_id":"S1","app":"libreoffice_calc","action_key":"rename_copy_and_reorder_sheets","input_artifacts":["copy_sheet_insert.xlsx"],"output_artifacts":["copy_sheet_insert.xlsx"],"depends_on":[]}]</x:v>
      </x:c>
      <x:c r="R32" s="36" t="str">
        <x:v>[]</x:v>
      </x:c>
      <x:c r="S32" s="36" t="str">
        <x:v>rename_copy_and_reorder_sheets</x:v>
      </x:c>
      <x:c r="T32" s="36" t="str">
        <x:v>copy_sheet_insert.xlsx</x:v>
      </x:c>
      <x:c r="U32" s="36" t="str">
        <x:v>retrieve_and_execute</x:v>
      </x:c>
      <x:c r="V32" s="36" t="str">
        <x:v>[{"point_id":"P1","description":"主要处理方式与预期动作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x:v>
      </x:c>
      <x:c r="W32" s="36" t="str">
        <x:v>1.00</x:v>
      </x:c>
      <x:c r="X32" s="39" t="str">
        <x:v>copy_sheet_insert.xlsx 的工作表结构按上次那版整理：主表、备份表和离线表三个名称都处理好。</x:v>
      </x:c>
      <x:c r="Y32"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x:v>
      </x:c>
      <x:c r="Z32" s="39" t="str">
        <x:v>不适用：当前题目不存在需要用户进一步选择的候选记忆。</x:v>
      </x:c>
      <x:c r="AA32" s="39" t="str">
        <x:v>不适用：当前题目没有指定需要排除的冲突或禁止记忆。</x:v>
      </x:c>
      <x:c r="AB32" s="39" t="str">
        <x:v>应执行以下操作：在 copy_sheet_insert.xlsx 中把 Sheet 1 改名为 LARS Resources，复制该表并放到 Sheet 2 前，副本命名为 LARS Resources (Backup)，同时把 Sheet2 改名为 LARS Resources (Offline)。</x:v>
      </x:c>
      <x:c r="AC32"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x:v>
      </x:c>
      <x:c r="AD32" s="39" t="str">
        <x:v>用户的完整请求是：“copy_sheet_insert.xlsx 的工作表结构按上次那版整理：主表、备份表和离线表三个名称都处理好。”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x:v>
      </x:c>
      <x:c r="AE3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x:v>
      </x:c>
      <x:c r="AF32" s="50" t="str">
        <x:v>not_pass</x:v>
      </x:c>
      <x:c r="AG32" s="50" t="n">
        <x:v>0</x:v>
      </x:c>
    </x:row>
    <x:row r="33" ht="202.5" customHeight="1">
      <x:c r="A33" s="35" t="str">
        <x:v>0cecd4f3-74de-457b-ba94-29ad6b5dafb6_HQ2</x:v>
      </x:c>
      <x:c r="B33" s="36" t="str">
        <x:v>SG_TASK_0cecd4f3-74de-457b-ba94-29ad6b5dafb6</x:v>
      </x:c>
      <x:c r="C33" s="36" t="str">
        <x:v>0cecd4f3-74de-457b-ba94-29ad6b5dafb6</x:v>
      </x:c>
      <x:c r="D33" s="36" t="str">
        <x:v>copy_sheet_insert.xlsx</x:v>
      </x:c>
      <x:c r="E33" s="36" t="str">
        <x:v>single_memory</x:v>
      </x:c>
      <x:c r="F33" s="36" t="str">
        <x:v>human_goal_oriented</x:v>
      </x:c>
      <x:c r="G33" s="36" t="str">
        <x:v>train</x:v>
      </x:c>
      <x:c r="H33" s="36" t="str">
        <x:v>中等</x:v>
      </x:c>
      <x:c r="I33" s="36" t="str">
        <x:v>0cecd4f3-74de-457b-ba94-29ad6b5dafb6</x:v>
      </x:c>
      <x:c r="J33" s="36" t="str">
        <x:v>CTX_0cecd4f3-74de-457b-ba94-29ad6b5dafb6</x:v>
      </x:c>
      <x:c r="K33" s="36" t="str">
        <x:v>STM_0cecd4f3-74de-457b-ba94-29ad6b5dafb6</x:v>
      </x:c>
      <x:c r="L33" s="36" t="str"/>
      <x:c r="M33" s="36" t="str"/>
      <x:c r="N33" s="36" t="str">
        <x:v>工作流程</x:v>
      </x:c>
      <x:c r="O33" s="36" t="str">
        <x:v>短期</x:v>
      </x:c>
      <x:c r="P33" s="36" t="str">
        <x:v>["libreoffice_calc"]</x:v>
      </x:c>
      <x:c r="Q33" s="36" t="str">
        <x:v>[{"step_id":"S1","app":"libreoffice_calc","action_key":"rename_copy_and_reorder_sheets","input_artifacts":["copy_sheet_insert.xlsx"],"output_artifacts":["copy_sheet_insert.xlsx"],"depends_on":[]}]</x:v>
      </x:c>
      <x:c r="R33" s="36" t="str">
        <x:v>[]</x:v>
      </x:c>
      <x:c r="S33" s="36" t="str">
        <x:v>rename_copy_and_reorder_sheets</x:v>
      </x:c>
      <x:c r="T33" s="36" t="str">
        <x:v>copy_sheet_insert.xlsx</x:v>
      </x:c>
      <x:c r="U33" s="36" t="str">
        <x:v>retrieve_and_execute</x:v>
      </x:c>
      <x:c r="V33" s="36" t="str">
        <x:v>[{"point_id":"P1","description":"主要处理方式与预期动作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x:v>
      </x:c>
      <x:c r="W33" s="36" t="str">
        <x:v>1.00</x:v>
      </x:c>
      <x:c r="X33" s="39" t="str">
        <x:v>这份资源清单需要保留一份备份，再把原来的两个 Sheet 改成线上和离线对应的名称，顺序也按之前的来。</x:v>
      </x:c>
      <x:c r="Y33"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x:v>
      </x:c>
      <x:c r="Z33" s="39" t="str">
        <x:v>不适用：当前题目不存在需要用户进一步选择的候选记忆。</x:v>
      </x:c>
      <x:c r="AA33" s="39" t="str">
        <x:v>不适用：当前题目没有指定需要排除的冲突或禁止记忆。</x:v>
      </x:c>
      <x:c r="AB33" s="39" t="str">
        <x:v>应执行以下操作：在 copy_sheet_insert.xlsx 中把 Sheet 1 改名为 LARS Resources，复制该表并放到 Sheet 2 前，副本命名为 LARS Resources (Backup)，同时把 Sheet2 改名为 LARS Resources (Offline)。</x:v>
      </x:c>
      <x:c r="AC33"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x:v>
      </x:c>
      <x:c r="AD33" s="39" t="str">
        <x:v>用户的完整请求是：“这份资源清单需要保留一份备份，再把原来的两个 Sheet 改成线上和离线对应的名称，顺序也按之前的来。”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x:v>
      </x:c>
      <x:c r="AE3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x:v>
      </x:c>
      <x:c r="AF33" s="50" t="str">
        <x:v>not_pass</x:v>
      </x:c>
      <x:c r="AG33" s="50" t="n">
        <x:v>0</x:v>
      </x:c>
    </x:row>
    <x:row r="34" ht="202.5" customHeight="1">
      <x:c r="A34" s="35" t="str">
        <x:v>0cecd4f3-74de-457b-ba94-29ad6b5dafb6_HQ3</x:v>
      </x:c>
      <x:c r="B34" s="36" t="str">
        <x:v>SG_TASK_0cecd4f3-74de-457b-ba94-29ad6b5dafb6</x:v>
      </x:c>
      <x:c r="C34" s="36" t="str">
        <x:v>0cecd4f3-74de-457b-ba94-29ad6b5dafb6</x:v>
      </x:c>
      <x:c r="D34" s="36" t="str">
        <x:v>copy_sheet_insert.xlsx</x:v>
      </x:c>
      <x:c r="E34" s="36" t="str">
        <x:v>single_memory</x:v>
      </x:c>
      <x:c r="F34" s="36" t="str">
        <x:v>contextual_ellipsis</x:v>
      </x:c>
      <x:c r="G34" s="36" t="str">
        <x:v>train</x:v>
      </x:c>
      <x:c r="H34" s="36" t="str">
        <x:v>中等</x:v>
      </x:c>
      <x:c r="I34" s="36" t="str">
        <x:v>0cecd4f3-74de-457b-ba94-29ad6b5dafb6</x:v>
      </x:c>
      <x:c r="J34" s="36" t="str">
        <x:v>CTX_0cecd4f3-74de-457b-ba94-29ad6b5dafb6</x:v>
      </x:c>
      <x:c r="K34" s="36" t="str">
        <x:v>STM_0cecd4f3-74de-457b-ba94-29ad6b5dafb6</x:v>
      </x:c>
      <x:c r="L34" s="36" t="str"/>
      <x:c r="M34" s="36" t="str"/>
      <x:c r="N34" s="36" t="str">
        <x:v>工作流程</x:v>
      </x:c>
      <x:c r="O34" s="36" t="str">
        <x:v>短期</x:v>
      </x:c>
      <x:c r="P34" s="36" t="str">
        <x:v>["libreoffice_calc"]</x:v>
      </x:c>
      <x:c r="Q34" s="36" t="str">
        <x:v>[{"step_id":"S1","app":"libreoffice_calc","action_key":"rename_copy_and_reorder_sheets","input_artifacts":["copy_sheet_insert.xlsx"],"output_artifacts":["copy_sheet_insert.xlsx"],"depends_on":[]}]</x:v>
      </x:c>
      <x:c r="R34" s="36" t="str">
        <x:v>[]</x:v>
      </x:c>
      <x:c r="S34" s="36" t="str">
        <x:v>rename_copy_and_reorder_sheets</x:v>
      </x:c>
      <x:c r="T34" s="36" t="str">
        <x:v>copy_sheet_insert.xlsx</x:v>
      </x:c>
      <x:c r="U34" s="36" t="str">
        <x:v>retrieve_and_execute</x:v>
      </x:c>
      <x:c r="V34" s="36" t="str">
        <x:v>[{"point_id":"P1","description":"主要处理方式与预期动作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x:v>
      </x:c>
      <x:c r="W34" s="36" t="str">
        <x:v>1.00</x:v>
      </x:c>
      <x:c r="X34" s="39" t="str">
        <x:v>当前文件继续做表页整理，LARS Resources 的副本放到第二张表前面。</x:v>
      </x:c>
      <x:c r="Y34"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x:v>
      </x:c>
      <x:c r="Z34" s="39" t="str">
        <x:v>不适用：当前题目不存在需要用户进一步选择的候选记忆。</x:v>
      </x:c>
      <x:c r="AA34" s="39" t="str">
        <x:v>不适用：当前题目没有指定需要排除的冲突或禁止记忆。</x:v>
      </x:c>
      <x:c r="AB34" s="39" t="str">
        <x:v>应执行以下操作：在 copy_sheet_insert.xlsx 中把 Sheet 1 改名为 LARS Resources，复制该表并放到 Sheet 2 前，副本命名为 LARS Resources (Backup)，同时把 Sheet2 改名为 LARS Resources (Offline)。</x:v>
      </x:c>
      <x:c r="AC34"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x:v>
      </x:c>
      <x:c r="AD34" s="39" t="str">
        <x:v>用户的完整请求是：“当前文件继续做表页整理，LARS Resources 的副本放到第二张表前面。”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x:v>
      </x:c>
      <x:c r="AE3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x:v>
      </x:c>
      <x:c r="AF34" s="50" t="str">
        <x:v>not_pass</x:v>
      </x:c>
      <x:c r="AG34" s="50" t="n">
        <x:v>0</x:v>
      </x:c>
    </x:row>
    <x:row r="35" ht="202.5" customHeight="1">
      <x:c r="A35" s="35" t="str">
        <x:v>0cecd4f3-74de-457b-ba94-29ad6b5dafb6_HQ4</x:v>
      </x:c>
      <x:c r="B35" s="36" t="str">
        <x:v>SG_TASK_0cecd4f3-74de-457b-ba94-29ad6b5dafb6</x:v>
      </x:c>
      <x:c r="C35" s="36" t="str">
        <x:v>0cecd4f3-74de-457b-ba94-29ad6b5dafb6</x:v>
      </x:c>
      <x:c r="D35" s="36" t="str">
        <x:v>copy_sheet_insert.xlsx</x:v>
      </x:c>
      <x:c r="E35" s="36" t="str">
        <x:v>single_memory</x:v>
      </x:c>
      <x:c r="F35" s="36" t="str">
        <x:v>low_overlap_paraphrase</x:v>
      </x:c>
      <x:c r="G35" s="36" t="str">
        <x:v>train</x:v>
      </x:c>
      <x:c r="H35" s="36" t="str">
        <x:v>困难</x:v>
      </x:c>
      <x:c r="I35" s="36" t="str">
        <x:v>0cecd4f3-74de-457b-ba94-29ad6b5dafb6</x:v>
      </x:c>
      <x:c r="J35" s="36" t="str">
        <x:v>CTX_0cecd4f3-74de-457b-ba94-29ad6b5dafb6</x:v>
      </x:c>
      <x:c r="K35" s="36" t="str">
        <x:v>STM_0cecd4f3-74de-457b-ba94-29ad6b5dafb6</x:v>
      </x:c>
      <x:c r="L35" s="36" t="str"/>
      <x:c r="M35" s="36" t="str"/>
      <x:c r="N35" s="36" t="str">
        <x:v>工作流程</x:v>
      </x:c>
      <x:c r="O35" s="36" t="str">
        <x:v>短期</x:v>
      </x:c>
      <x:c r="P35" s="36" t="str">
        <x:v>["libreoffice_calc"]</x:v>
      </x:c>
      <x:c r="Q35" s="36" t="str">
        <x:v>[{"step_id":"S1","app":"libreoffice_calc","action_key":"rename_copy_and_reorder_sheets","input_artifacts":["copy_sheet_insert.xlsx"],"output_artifacts":["copy_sheet_insert.xlsx"],"depends_on":[]}]</x:v>
      </x:c>
      <x:c r="R35" s="36" t="str">
        <x:v>[]</x:v>
      </x:c>
      <x:c r="S35" s="36" t="str">
        <x:v>rename_copy_and_reorder_sheets</x:v>
      </x:c>
      <x:c r="T35" s="36" t="str">
        <x:v>copy_sheet_insert.xlsx</x:v>
      </x:c>
      <x:c r="U35" s="36" t="str">
        <x:v>retrieve_and_execute</x:v>
      </x:c>
      <x:c r="V35" s="36" t="str">
        <x:v>[{"point_id":"P1","description":"主要处理方式与预期动作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x:v>
      </x:c>
      <x:c r="W35" s="36" t="str">
        <x:v>1.00</x:v>
      </x:c>
      <x:c r="X35" s="39" t="str">
        <x:v>我想把资源表分成主用、备份和离线三个版本，沿用之前约定的英文命名和位置。</x:v>
      </x:c>
      <x:c r="Y35"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x:v>
      </x:c>
      <x:c r="Z35" s="39" t="str">
        <x:v>不适用：当前题目不存在需要用户进一步选择的候选记忆。</x:v>
      </x:c>
      <x:c r="AA35" s="39" t="str">
        <x:v>不适用：当前题目没有指定需要排除的冲突或禁止记忆。</x:v>
      </x:c>
      <x:c r="AB35" s="39" t="str">
        <x:v>应执行以下操作：在 copy_sheet_insert.xlsx 中把 Sheet 1 改名为 LARS Resources，复制该表并放到 Sheet 2 前，副本命名为 LARS Resources (Backup)，同时把 Sheet2 改名为 LARS Resources (Offline)。</x:v>
      </x:c>
      <x:c r="AC35"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x:v>
      </x:c>
      <x:c r="AD35" s="39" t="str">
        <x:v>用户的完整请求是：“我想把资源表分成主用、备份和离线三个版本，沿用之前约定的英文命名和位置。”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x:v>
      </x:c>
      <x:c r="AE3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x:v>
      </x:c>
      <x:c r="AF35" s="50" t="str">
        <x:v>not_pass</x:v>
      </x:c>
      <x:c r="AG35" s="50" t="n">
        <x:v>0</x:v>
      </x:c>
    </x:row>
    <x:row r="36" ht="202.5" customHeight="1">
      <x:c r="A36" s="35" t="str">
        <x:v>0cecd4f3-74de-457b-ba94-29ad6b5dafb6_HQ5</x:v>
      </x:c>
      <x:c r="B36" s="36" t="str">
        <x:v>SG_TASK_0cecd4f3-74de-457b-ba94-29ad6b5dafb6</x:v>
      </x:c>
      <x:c r="C36" s="36" t="str">
        <x:v>0cecd4f3-74de-457b-ba94-29ad6b5dafb6</x:v>
      </x:c>
      <x:c r="D36" s="36" t="str">
        <x:v>copy_sheet_insert.xlsx</x:v>
      </x:c>
      <x:c r="E36" s="36" t="str">
        <x:v>single_memory</x:v>
      </x:c>
      <x:c r="F36" s="36" t="str">
        <x:v>human_constraint_emphasis</x:v>
      </x:c>
      <x:c r="G36" s="36" t="str">
        <x:v>train</x:v>
      </x:c>
      <x:c r="H36" s="36" t="str">
        <x:v>困难</x:v>
      </x:c>
      <x:c r="I36" s="36" t="str">
        <x:v>0cecd4f3-74de-457b-ba94-29ad6b5dafb6</x:v>
      </x:c>
      <x:c r="J36" s="36" t="str">
        <x:v>CTX_0cecd4f3-74de-457b-ba94-29ad6b5dafb6</x:v>
      </x:c>
      <x:c r="K36" s="36" t="str">
        <x:v>STM_0cecd4f3-74de-457b-ba94-29ad6b5dafb6</x:v>
      </x:c>
      <x:c r="L36" s="36" t="str"/>
      <x:c r="M36" s="36" t="str"/>
      <x:c r="N36" s="36" t="str">
        <x:v>工作流程</x:v>
      </x:c>
      <x:c r="O36" s="36" t="str">
        <x:v>短期</x:v>
      </x:c>
      <x:c r="P36" s="36" t="str">
        <x:v>["libreoffice_calc"]</x:v>
      </x:c>
      <x:c r="Q36" s="36" t="str">
        <x:v>[{"step_id":"S1","app":"libreoffice_calc","action_key":"rename_copy_and_reorder_sheets","input_artifacts":["copy_sheet_insert.xlsx"],"output_artifacts":["copy_sheet_insert.xlsx"],"depends_on":[]}]</x:v>
      </x:c>
      <x:c r="R36" s="36" t="str">
        <x:v>[]</x:v>
      </x:c>
      <x:c r="S36" s="36" t="str">
        <x:v>rename_copy_and_reorder_sheets</x:v>
      </x:c>
      <x:c r="T36" s="36" t="str">
        <x:v>copy_sheet_insert.xlsx</x:v>
      </x:c>
      <x:c r="U36" s="36" t="str">
        <x:v>retrieve_and_execute</x:v>
      </x:c>
      <x:c r="V36" s="36" t="str">
        <x:v>[{"point_id":"P1","description":"主要处理方式与预期动作 rename_copy_and_reorder_sheets 语义一致","weight":0.4,"evidence_memory_ids":["STM_0cecd4f3-74de-457b-ba94-29ad6b5dafb6"]},{"point_id":"P2","description":"正确定位目标对象 copy_sheet_insert.xlsx","weight":0.2,"evidence_memory_ids":["STM_0cecd4f3-74de-457b-ba94-29ad6b5dafb6"]},{"point_id":"P3","description":"满足关键条件：副本位于原 Sheet 2 前；Backup 前有空格；三个目标名称必须完全一致","weight":0.3,"evidence_memory_ids":["STM_0cecd4f3-74de-457b-ba94-29ad6b5dafb6"]},{"point_id":"P4","description":"不增加无记忆证据支持的操作","weight":0.1,"evidence_memory_ids":["STM_0cecd4f3-74de-457b-ba94-29ad6b5dafb6"]}]</x:v>
      </x:c>
      <x:c r="W36" s="36" t="str">
        <x:v>1.00</x:v>
      </x:c>
      <x:c r="X36" s="39" t="str">
        <x:v>Sheet 1 改成 LARS Resources，复制件加 (Backup)，Sheet2 改成 (Offline)，副本顺序别放错。</x:v>
      </x:c>
      <x:c r="Y36"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x:v>
      </x:c>
      <x:c r="Z36" s="39" t="str">
        <x:v>不适用：当前题目不存在需要用户进一步选择的候选记忆。</x:v>
      </x:c>
      <x:c r="AA36" s="39" t="str">
        <x:v>不适用：当前题目没有指定需要排除的冲突或禁止记忆。</x:v>
      </x:c>
      <x:c r="AB36" s="39" t="str">
        <x:v>应执行以下操作：在 copy_sheet_insert.xlsx 中把 Sheet 1 改名为 LARS Resources，复制该表并放到 Sheet 2 前，副本命名为 LARS Resources (Backup)，同时把 Sheet2 改名为 LARS Resources (Offline)。</x:v>
      </x:c>
      <x:c r="AC36"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x:v>
      </x:c>
      <x:c r="AD36" s="39" t="str">
        <x:v>用户的完整请求是：“Sheet 1 改成 LARS Resources，复制件加 (Backup)，Sheet2 改成 (Offline)，副本顺序别放错。” 第1个当前上下文：copy_sheet_insert.xlsx 已在 LibreOffice Calc 中打开。 当前请求是在已有办公上下文中继续、复用或重新强调既有处理方式。与该请求唯一对应的完整必需记忆如下：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copy_sheet_insert.xlsx 中把 Sheet 1 改名为 LARS Resources，复制该表并放到 Sheet 2 前，副本命名为 LARS Resources (Backup)，同时把 Sheet2 改名为 LARS Resources (Offline)。”</x:v>
      </x:c>
      <x:c r="AE3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第2个得分点（0.20分）：正确定位目标对象 copy_sheet_insert.xlsx。该得分点所依据的完整证据为：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第3个得分点（0.30分）：满足关键条件：副本位于原 Sheet 2 前；Backup 前有空格；三个目标名称必须完全一致。该得分点所依据的完整证据为：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第4个得分点（0.10分）：不增加无记忆证据支持的操作。该得分点所依据的完整证据为：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人工复审时，应依据模型最终给出的信息和实际操作是否满足上述每个得分点分别给分；只命中记忆 ID 但没有形成对应结论不能获得该结论分，形成了正确结论但表达方式不同则不应扣分。</x:v>
      </x:c>
      <x:c r="AF36" s="50" t="str">
        <x:v>not_pass</x:v>
      </x:c>
      <x:c r="AG36" s="50" t="n">
        <x:v>0</x:v>
      </x:c>
    </x:row>
    <x:row r="37" ht="189" customHeight="1">
      <x:c r="A37" s="35" t="str">
        <x:v>12382c62-0cd1-4bf2-bdc8-1d20bf9b2371_HQ1</x:v>
      </x:c>
      <x:c r="B37" s="36" t="str">
        <x:v>SG_TASK_12382c62-0cd1-4bf2-bdc8-1d20bf9b2371</x:v>
      </x:c>
      <x:c r="C37" s="36" t="str">
        <x:v>12382c62-0cd1-4bf2-bdc8-1d20bf9b2371</x:v>
      </x:c>
      <x:c r="D37" s="36" t="str">
        <x:v>WeeklySales.xlsx</x:v>
      </x:c>
      <x:c r="E37" s="36" t="str">
        <x:v>single_memory</x:v>
      </x:c>
      <x:c r="F37" s="36" t="str">
        <x:v>human_context_explicit</x:v>
      </x:c>
      <x:c r="G37" s="36" t="str">
        <x:v>dev</x:v>
      </x:c>
      <x:c r="H37" s="36" t="str">
        <x:v>简单</x:v>
      </x:c>
      <x:c r="I37" s="36" t="str">
        <x:v>12382c62-0cd1-4bf2-bdc8-1d20bf9b2371</x:v>
      </x:c>
      <x:c r="J37" s="36" t="str">
        <x:v>CTX_12382c62-0cd1-4bf2-bdc8-1d20bf9b2371</x:v>
      </x:c>
      <x:c r="K37" s="36" t="str">
        <x:v>MTM_12382c62-0cd1-4bf2-bdc8-1d20bf9b2371</x:v>
      </x:c>
      <x:c r="L37" s="36" t="str"/>
      <x:c r="M37" s="36" t="str">
        <x:v>MTM_1e8df695-bd1b-45b3-b557-e7d599cf7597</x:v>
      </x:c>
      <x:c r="N37" s="36" t="str">
        <x:v>可复用模板</x:v>
      </x:c>
      <x:c r="O37" s="36" t="str">
        <x:v>中期</x:v>
      </x:c>
      <x:c r="P37" s="36" t="str">
        <x:v>["libreoffice_calc"]</x:v>
      </x:c>
      <x:c r="Q37" s="36" t="str">
        <x:v>[{"step_id":"S1","app":"libreoffice_calc","action_key":"create_sales_cogs_clustered_column_chart","input_artifacts":["WeeklySales.xlsx"],"output_artifacts":["WeeklySales.xlsx"],"depends_on":[]}]</x:v>
      </x:c>
      <x:c r="R37" s="36" t="str">
        <x:v>[]</x:v>
      </x:c>
      <x:c r="S37" s="36" t="str">
        <x:v>create_sales_cogs_clustered_column_chart</x:v>
      </x:c>
      <x:c r="T37" s="36" t="str">
        <x:v>WeeklySales.xlsx</x:v>
      </x:c>
      <x:c r="U37" s="36" t="str">
        <x:v>retrieve_and_execute</x:v>
      </x:c>
      <x:c r="V37" s="36" t="str">
        <x:v>[{"point_id":"P1","description":"主要处理方式与预期动作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x:v>
      </x:c>
      <x:c r="W37" s="36" t="str">
        <x:v>1.00</x:v>
      </x:c>
      <x:c r="X37" s="39" t="str">
        <x:v>WeeklySales.xlsx 里销售额和成本的周度对比，按上次的簇状柱形图模板放到 Sheet2。</x:v>
      </x:c>
      <x:c r="Y37" s="39" t="str">
        <x:v>第1条记忆（中期/可复用模板）：在 WeeklySales.xlsx 新建 Sheet2，为每周的 Sales 和 COGS 数据创建簇状柱形图，图表标题设为 Sales &amp; COGS。关键约束：图表放在 Sheet2；图表类型为簇状柱形图；标题必须为 Sales &amp; COGS。</x:v>
      </x:c>
      <x:c r="Z37" s="39" t="str">
        <x:v>不适用：当前题目不存在需要用户进一步选择的候选记忆。</x:v>
      </x:c>
      <x:c r="AA37" s="39" t="str">
        <x:v>第1条记忆（中期/知识）：在 WeeklySales.xlsx 的 COGS 列右侧新增 Profit 列，并按每周 Sales 减去 COGS 计算利润。关键约束：Profit 紧邻 COGS；逐周计算 Sales-COGS；不创建图表。</x:v>
      </x:c>
      <x:c r="AB37" s="39" t="str">
        <x:v>应执行以下操作：在 WeeklySales.xlsx 新建 Sheet2，为每周的 Sales 和 COGS 数据创建簇状柱形图，图表标题设为 Sales &amp; COGS。</x:v>
      </x:c>
      <x:c r="AC37" s="39" t="str">
        <x:v>第1项实际操作：在 WeeklySales.xlsx 新建 Sheet2，为每周的 Sales 和 COGS 数据创建簇状柱形图，图表标题设为 Sales &amp; COGS。执行时必须满足：图表放在 Sheet2；图表类型为簇状柱形图；标题必须为 Sales &amp; COGS。</x:v>
      </x:c>
      <x:c r="AD37" s="39" t="str">
        <x:v>用户的完整请求是：“WeeklySales.xlsx 里销售额和成本的周度对比，按上次的簇状柱形图模板放到 Sheet2。”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x:v>
      </x:c>
      <x:c r="AE3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7" s="50" t="str">
        <x:v>not_pass</x:v>
      </x:c>
      <x:c r="AG37" s="50" t="n">
        <x:v>0</x:v>
      </x:c>
    </x:row>
    <x:row r="38" ht="189" customHeight="1">
      <x:c r="A38" s="35" t="str">
        <x:v>12382c62-0cd1-4bf2-bdc8-1d20bf9b2371_HQ2</x:v>
      </x:c>
      <x:c r="B38" s="36" t="str">
        <x:v>SG_TASK_12382c62-0cd1-4bf2-bdc8-1d20bf9b2371</x:v>
      </x:c>
      <x:c r="C38" s="36" t="str">
        <x:v>12382c62-0cd1-4bf2-bdc8-1d20bf9b2371</x:v>
      </x:c>
      <x:c r="D38" s="36" t="str">
        <x:v>WeeklySales.xlsx</x:v>
      </x:c>
      <x:c r="E38" s="36" t="str">
        <x:v>single_memory</x:v>
      </x:c>
      <x:c r="F38" s="36" t="str">
        <x:v>human_goal_oriented</x:v>
      </x:c>
      <x:c r="G38" s="36" t="str">
        <x:v>dev</x:v>
      </x:c>
      <x:c r="H38" s="36" t="str">
        <x:v>中等</x:v>
      </x:c>
      <x:c r="I38" s="36" t="str">
        <x:v>12382c62-0cd1-4bf2-bdc8-1d20bf9b2371</x:v>
      </x:c>
      <x:c r="J38" s="36" t="str">
        <x:v>CTX_12382c62-0cd1-4bf2-bdc8-1d20bf9b2371</x:v>
      </x:c>
      <x:c r="K38" s="36" t="str">
        <x:v>MTM_12382c62-0cd1-4bf2-bdc8-1d20bf9b2371</x:v>
      </x:c>
      <x:c r="L38" s="36" t="str"/>
      <x:c r="M38" s="36" t="str">
        <x:v>MTM_1e8df695-bd1b-45b3-b557-e7d599cf7597</x:v>
      </x:c>
      <x:c r="N38" s="36" t="str">
        <x:v>可复用模板</x:v>
      </x:c>
      <x:c r="O38" s="36" t="str">
        <x:v>中期</x:v>
      </x:c>
      <x:c r="P38" s="36" t="str">
        <x:v>["libreoffice_calc"]</x:v>
      </x:c>
      <x:c r="Q38" s="36" t="str">
        <x:v>[{"step_id":"S1","app":"libreoffice_calc","action_key":"create_sales_cogs_clustered_column_chart","input_artifacts":["WeeklySales.xlsx"],"output_artifacts":["WeeklySales.xlsx"],"depends_on":[]}]</x:v>
      </x:c>
      <x:c r="R38" s="36" t="str">
        <x:v>[]</x:v>
      </x:c>
      <x:c r="S38" s="36" t="str">
        <x:v>create_sales_cogs_clustered_column_chart</x:v>
      </x:c>
      <x:c r="T38" s="36" t="str">
        <x:v>WeeklySales.xlsx</x:v>
      </x:c>
      <x:c r="U38" s="36" t="str">
        <x:v>retrieve_and_execute</x:v>
      </x:c>
      <x:c r="V38" s="36" t="str">
        <x:v>[{"point_id":"P1","description":"主要处理方式与预期动作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x:v>
      </x:c>
      <x:c r="W38" s="36" t="str">
        <x:v>1.00</x:v>
      </x:c>
      <x:c r="X38" s="39" t="str">
        <x:v>我想让每周 Sales 和 COGS 的差距一眼能看出来，麻烦做成并排柱子，标题用 Sales &amp; COGS。</x:v>
      </x:c>
      <x:c r="Y38" s="39" t="str">
        <x:v>第1条记忆（中期/可复用模板）：在 WeeklySales.xlsx 新建 Sheet2，为每周的 Sales 和 COGS 数据创建簇状柱形图，图表标题设为 Sales &amp; COGS。关键约束：图表放在 Sheet2；图表类型为簇状柱形图；标题必须为 Sales &amp; COGS。</x:v>
      </x:c>
      <x:c r="Z38" s="39" t="str">
        <x:v>不适用：当前题目不存在需要用户进一步选择的候选记忆。</x:v>
      </x:c>
      <x:c r="AA38" s="39" t="str">
        <x:v>第1条记忆（中期/知识）：在 WeeklySales.xlsx 的 COGS 列右侧新增 Profit 列，并按每周 Sales 减去 COGS 计算利润。关键约束：Profit 紧邻 COGS；逐周计算 Sales-COGS；不创建图表。</x:v>
      </x:c>
      <x:c r="AB38" s="39" t="str">
        <x:v>应执行以下操作：在 WeeklySales.xlsx 新建 Sheet2，为每周的 Sales 和 COGS 数据创建簇状柱形图，图表标题设为 Sales &amp; COGS。</x:v>
      </x:c>
      <x:c r="AC38" s="39" t="str">
        <x:v>第1项实际操作：在 WeeklySales.xlsx 新建 Sheet2，为每周的 Sales 和 COGS 数据创建簇状柱形图，图表标题设为 Sales &amp; COGS。执行时必须满足：图表放在 Sheet2；图表类型为簇状柱形图；标题必须为 Sales &amp; COGS。</x:v>
      </x:c>
      <x:c r="AD38" s="39" t="str">
        <x:v>用户的完整请求是：“我想让每周 Sales 和 COGS 的差距一眼能看出来，麻烦做成并排柱子，标题用 Sales &amp; COGS。”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x:v>
      </x:c>
      <x:c r="AE3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8" s="50" t="str">
        <x:v>not_pass</x:v>
      </x:c>
      <x:c r="AG38" s="50" t="n">
        <x:v>0</x:v>
      </x:c>
    </x:row>
    <x:row r="39" ht="189" customHeight="1">
      <x:c r="A39" s="35" t="str">
        <x:v>12382c62-0cd1-4bf2-bdc8-1d20bf9b2371_HQ3</x:v>
      </x:c>
      <x:c r="B39" s="36" t="str">
        <x:v>SG_TASK_12382c62-0cd1-4bf2-bdc8-1d20bf9b2371</x:v>
      </x:c>
      <x:c r="C39" s="36" t="str">
        <x:v>12382c62-0cd1-4bf2-bdc8-1d20bf9b2371</x:v>
      </x:c>
      <x:c r="D39" s="36" t="str">
        <x:v>WeeklySales.xlsx</x:v>
      </x:c>
      <x:c r="E39" s="36" t="str">
        <x:v>single_memory</x:v>
      </x:c>
      <x:c r="F39" s="36" t="str">
        <x:v>contextual_ellipsis</x:v>
      </x:c>
      <x:c r="G39" s="36" t="str">
        <x:v>dev</x:v>
      </x:c>
      <x:c r="H39" s="36" t="str">
        <x:v>中等</x:v>
      </x:c>
      <x:c r="I39" s="36" t="str">
        <x:v>12382c62-0cd1-4bf2-bdc8-1d20bf9b2371</x:v>
      </x:c>
      <x:c r="J39" s="36" t="str">
        <x:v>CTX_12382c62-0cd1-4bf2-bdc8-1d20bf9b2371</x:v>
      </x:c>
      <x:c r="K39" s="36" t="str">
        <x:v>MTM_12382c62-0cd1-4bf2-bdc8-1d20bf9b2371</x:v>
      </x:c>
      <x:c r="L39" s="36" t="str"/>
      <x:c r="M39" s="36" t="str">
        <x:v>MTM_1e8df695-bd1b-45b3-b557-e7d599cf7597</x:v>
      </x:c>
      <x:c r="N39" s="36" t="str">
        <x:v>可复用模板</x:v>
      </x:c>
      <x:c r="O39" s="36" t="str">
        <x:v>中期</x:v>
      </x:c>
      <x:c r="P39" s="36" t="str">
        <x:v>["libreoffice_calc"]</x:v>
      </x:c>
      <x:c r="Q39" s="36" t="str">
        <x:v>[{"step_id":"S1","app":"libreoffice_calc","action_key":"create_sales_cogs_clustered_column_chart","input_artifacts":["WeeklySales.xlsx"],"output_artifacts":["WeeklySales.xlsx"],"depends_on":[]}]</x:v>
      </x:c>
      <x:c r="R39" s="36" t="str">
        <x:v>[]</x:v>
      </x:c>
      <x:c r="S39" s="36" t="str">
        <x:v>create_sales_cogs_clustered_column_chart</x:v>
      </x:c>
      <x:c r="T39" s="36" t="str">
        <x:v>WeeklySales.xlsx</x:v>
      </x:c>
      <x:c r="U39" s="36" t="str">
        <x:v>retrieve_and_execute</x:v>
      </x:c>
      <x:c r="V39" s="36" t="str">
        <x:v>[{"point_id":"P1","description":"主要处理方式与预期动作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x:v>
      </x:c>
      <x:c r="W39" s="36" t="str">
        <x:v>1.00</x:v>
      </x:c>
      <x:c r="X39" s="39" t="str">
        <x:v>当前周销售表继续做成本对比图，只要第二张表里的那张柱形图。</x:v>
      </x:c>
      <x:c r="Y39" s="39" t="str">
        <x:v>第1条记忆（中期/可复用模板）：在 WeeklySales.xlsx 新建 Sheet2，为每周的 Sales 和 COGS 数据创建簇状柱形图，图表标题设为 Sales &amp; COGS。关键约束：图表放在 Sheet2；图表类型为簇状柱形图；标题必须为 Sales &amp; COGS。</x:v>
      </x:c>
      <x:c r="Z39" s="39" t="str">
        <x:v>不适用：当前题目不存在需要用户进一步选择的候选记忆。</x:v>
      </x:c>
      <x:c r="AA39" s="39" t="str">
        <x:v>第1条记忆（中期/知识）：在 WeeklySales.xlsx 的 COGS 列右侧新增 Profit 列，并按每周 Sales 减去 COGS 计算利润。关键约束：Profit 紧邻 COGS；逐周计算 Sales-COGS；不创建图表。</x:v>
      </x:c>
      <x:c r="AB39" s="39" t="str">
        <x:v>应执行以下操作：在 WeeklySales.xlsx 新建 Sheet2，为每周的 Sales 和 COGS 数据创建簇状柱形图，图表标题设为 Sales &amp; COGS。</x:v>
      </x:c>
      <x:c r="AC39" s="39" t="str">
        <x:v>第1项实际操作：在 WeeklySales.xlsx 新建 Sheet2，为每周的 Sales 和 COGS 数据创建簇状柱形图，图表标题设为 Sales &amp; COGS。执行时必须满足：图表放在 Sheet2；图表类型为簇状柱形图；标题必须为 Sales &amp; COGS。</x:v>
      </x:c>
      <x:c r="AD39" s="39" t="str">
        <x:v>用户的完整请求是：“当前周销售表继续做成本对比图，只要第二张表里的那张柱形图。”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x:v>
      </x:c>
      <x:c r="AE3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 s="50" t="str">
        <x:v>not_pass</x:v>
      </x:c>
      <x:c r="AG39" s="50" t="n">
        <x:v>0</x:v>
      </x:c>
    </x:row>
    <x:row r="40" ht="189" customHeight="1">
      <x:c r="A40" s="35" t="str">
        <x:v>12382c62-0cd1-4bf2-bdc8-1d20bf9b2371_HQ4</x:v>
      </x:c>
      <x:c r="B40" s="36" t="str">
        <x:v>SG_TASK_12382c62-0cd1-4bf2-bdc8-1d20bf9b2371</x:v>
      </x:c>
      <x:c r="C40" s="36" t="str">
        <x:v>12382c62-0cd1-4bf2-bdc8-1d20bf9b2371</x:v>
      </x:c>
      <x:c r="D40" s="36" t="str">
        <x:v>WeeklySales.xlsx</x:v>
      </x:c>
      <x:c r="E40" s="36" t="str">
        <x:v>single_memory</x:v>
      </x:c>
      <x:c r="F40" s="36" t="str">
        <x:v>low_overlap_paraphrase</x:v>
      </x:c>
      <x:c r="G40" s="36" t="str">
        <x:v>dev</x:v>
      </x:c>
      <x:c r="H40" s="36" t="str">
        <x:v>困难</x:v>
      </x:c>
      <x:c r="I40" s="36" t="str">
        <x:v>12382c62-0cd1-4bf2-bdc8-1d20bf9b2371</x:v>
      </x:c>
      <x:c r="J40" s="36" t="str">
        <x:v>CTX_12382c62-0cd1-4bf2-bdc8-1d20bf9b2371</x:v>
      </x:c>
      <x:c r="K40" s="36" t="str">
        <x:v>MTM_12382c62-0cd1-4bf2-bdc8-1d20bf9b2371</x:v>
      </x:c>
      <x:c r="L40" s="36" t="str"/>
      <x:c r="M40" s="36" t="str">
        <x:v>MTM_1e8df695-bd1b-45b3-b557-e7d599cf7597</x:v>
      </x:c>
      <x:c r="N40" s="36" t="str">
        <x:v>可复用模板</x:v>
      </x:c>
      <x:c r="O40" s="36" t="str">
        <x:v>中期</x:v>
      </x:c>
      <x:c r="P40" s="36" t="str">
        <x:v>["libreoffice_calc"]</x:v>
      </x:c>
      <x:c r="Q40" s="36" t="str">
        <x:v>[{"step_id":"S1","app":"libreoffice_calc","action_key":"create_sales_cogs_clustered_column_chart","input_artifacts":["WeeklySales.xlsx"],"output_artifacts":["WeeklySales.xlsx"],"depends_on":[]}]</x:v>
      </x:c>
      <x:c r="R40" s="36" t="str">
        <x:v>[]</x:v>
      </x:c>
      <x:c r="S40" s="36" t="str">
        <x:v>create_sales_cogs_clustered_column_chart</x:v>
      </x:c>
      <x:c r="T40" s="36" t="str">
        <x:v>WeeklySales.xlsx</x:v>
      </x:c>
      <x:c r="U40" s="36" t="str">
        <x:v>retrieve_and_execute</x:v>
      </x:c>
      <x:c r="V40" s="36" t="str">
        <x:v>[{"point_id":"P1","description":"主要处理方式与预期动作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x:v>
      </x:c>
      <x:c r="W40" s="36" t="str">
        <x:v>1.00</x:v>
      </x:c>
      <x:c r="X40" s="39" t="str">
        <x:v>汇报时我要同时比较每周收入和成本，沿用之前那种两组柱子并排的版式。</x:v>
      </x:c>
      <x:c r="Y40" s="39" t="str">
        <x:v>第1条记忆（中期/可复用模板）：在 WeeklySales.xlsx 新建 Sheet2，为每周的 Sales 和 COGS 数据创建簇状柱形图，图表标题设为 Sales &amp; COGS。关键约束：图表放在 Sheet2；图表类型为簇状柱形图；标题必须为 Sales &amp; COGS。</x:v>
      </x:c>
      <x:c r="Z40" s="39" t="str">
        <x:v>不适用：当前题目不存在需要用户进一步选择的候选记忆。</x:v>
      </x:c>
      <x:c r="AA40" s="39" t="str">
        <x:v>第1条记忆（中期/知识）：在 WeeklySales.xlsx 的 COGS 列右侧新增 Profit 列，并按每周 Sales 减去 COGS 计算利润。关键约束：Profit 紧邻 COGS；逐周计算 Sales-COGS；不创建图表。</x:v>
      </x:c>
      <x:c r="AB40" s="39" t="str">
        <x:v>应执行以下操作：在 WeeklySales.xlsx 新建 Sheet2，为每周的 Sales 和 COGS 数据创建簇状柱形图，图表标题设为 Sales &amp; COGS。</x:v>
      </x:c>
      <x:c r="AC40" s="39" t="str">
        <x:v>第1项实际操作：在 WeeklySales.xlsx 新建 Sheet2，为每周的 Sales 和 COGS 数据创建簇状柱形图，图表标题设为 Sales &amp; COGS。执行时必须满足：图表放在 Sheet2；图表类型为簇状柱形图；标题必须为 Sales &amp; COGS。</x:v>
      </x:c>
      <x:c r="AD40" s="39" t="str">
        <x:v>用户的完整请求是：“汇报时我要同时比较每周收入和成本，沿用之前那种两组柱子并排的版式。”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x:v>
      </x:c>
      <x:c r="AE4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0" s="50" t="str">
        <x:v>not_pass</x:v>
      </x:c>
      <x:c r="AG40" s="50" t="n">
        <x:v>0</x:v>
      </x:c>
    </x:row>
    <x:row r="41" ht="189" customHeight="1">
      <x:c r="A41" s="35" t="str">
        <x:v>12382c62-0cd1-4bf2-bdc8-1d20bf9b2371_HQ5</x:v>
      </x:c>
      <x:c r="B41" s="36" t="str">
        <x:v>SG_TASK_12382c62-0cd1-4bf2-bdc8-1d20bf9b2371</x:v>
      </x:c>
      <x:c r="C41" s="36" t="str">
        <x:v>12382c62-0cd1-4bf2-bdc8-1d20bf9b2371</x:v>
      </x:c>
      <x:c r="D41" s="36" t="str">
        <x:v>WeeklySales.xlsx</x:v>
      </x:c>
      <x:c r="E41" s="36" t="str">
        <x:v>single_memory</x:v>
      </x:c>
      <x:c r="F41" s="36" t="str">
        <x:v>human_constraint_emphasis</x:v>
      </x:c>
      <x:c r="G41" s="36" t="str">
        <x:v>dev</x:v>
      </x:c>
      <x:c r="H41" s="36" t="str">
        <x:v>困难</x:v>
      </x:c>
      <x:c r="I41" s="36" t="str">
        <x:v>12382c62-0cd1-4bf2-bdc8-1d20bf9b2371</x:v>
      </x:c>
      <x:c r="J41" s="36" t="str">
        <x:v>CTX_12382c62-0cd1-4bf2-bdc8-1d20bf9b2371</x:v>
      </x:c>
      <x:c r="K41" s="36" t="str">
        <x:v>MTM_12382c62-0cd1-4bf2-bdc8-1d20bf9b2371</x:v>
      </x:c>
      <x:c r="L41" s="36" t="str"/>
      <x:c r="M41" s="36" t="str">
        <x:v>MTM_1e8df695-bd1b-45b3-b557-e7d599cf7597</x:v>
      </x:c>
      <x:c r="N41" s="36" t="str">
        <x:v>可复用模板</x:v>
      </x:c>
      <x:c r="O41" s="36" t="str">
        <x:v>中期</x:v>
      </x:c>
      <x:c r="P41" s="36" t="str">
        <x:v>["libreoffice_calc"]</x:v>
      </x:c>
      <x:c r="Q41" s="36" t="str">
        <x:v>[{"step_id":"S1","app":"libreoffice_calc","action_key":"create_sales_cogs_clustered_column_chart","input_artifacts":["WeeklySales.xlsx"],"output_artifacts":["WeeklySales.xlsx"],"depends_on":[]}]</x:v>
      </x:c>
      <x:c r="R41" s="36" t="str">
        <x:v>[]</x:v>
      </x:c>
      <x:c r="S41" s="36" t="str">
        <x:v>create_sales_cogs_clustered_column_chart</x:v>
      </x:c>
      <x:c r="T41" s="36" t="str">
        <x:v>WeeklySales.xlsx</x:v>
      </x:c>
      <x:c r="U41" s="36" t="str">
        <x:v>retrieve_and_execute</x:v>
      </x:c>
      <x:c r="V41" s="36" t="str">
        <x:v>[{"point_id":"P1","description":"主要处理方式与预期动作 create_sales_cogs_clustered_column_chart 语义一致","weight":0.4,"evidence_memory_ids":["MTM_12382c62-0cd1-4bf2-bdc8-1d20bf9b2371"]},{"point_id":"P2","description":"正确定位目标对象 WeeklySales.xlsx","weight":0.2,"evidence_memory_ids":["MTM_12382c62-0cd1-4bf2-bdc8-1d20bf9b2371"]},{"point_id":"P3","description":"满足关键条件：图表放在 Sheet2；图表类型为簇状柱形图；标题必须为 Sales &amp; COGS","weight":0.3,"evidence_memory_ids":["MTM_12382c62-0cd1-4bf2-bdc8-1d20bf9b2371"]},{"point_id":"P4","description":"不采用禁止记忆中的冲突方案","weight":0.1,"evidence_memory_ids":["MTM_12382c62-0cd1-4bf2-bdc8-1d20bf9b2371","MTM_1e8df695-bd1b-45b3-b557-e7d599cf7597"]}]</x:v>
      </x:c>
      <x:c r="W41" s="36" t="str">
        <x:v>1.00</x:v>
      </x:c>
      <x:c r="X41" s="39" t="str">
        <x:v>WeeklySales 这次做 Sales/COGS 簇状柱图，放 Sheet2，图名别改。</x:v>
      </x:c>
      <x:c r="Y41" s="39" t="str">
        <x:v>第1条记忆（中期/可复用模板）：在 WeeklySales.xlsx 新建 Sheet2，为每周的 Sales 和 COGS 数据创建簇状柱形图，图表标题设为 Sales &amp; COGS。关键约束：图表放在 Sheet2；图表类型为簇状柱形图；标题必须为 Sales &amp; COGS。</x:v>
      </x:c>
      <x:c r="Z41" s="39" t="str">
        <x:v>不适用：当前题目不存在需要用户进一步选择的候选记忆。</x:v>
      </x:c>
      <x:c r="AA41" s="39" t="str">
        <x:v>第1条记忆（中期/知识）：在 WeeklySales.xlsx 的 COGS 列右侧新增 Profit 列，并按每周 Sales 减去 COGS 计算利润。关键约束：Profit 紧邻 COGS；逐周计算 Sales-COGS；不创建图表。</x:v>
      </x:c>
      <x:c r="AB41" s="39" t="str">
        <x:v>应执行以下操作：在 WeeklySales.xlsx 新建 Sheet2，为每周的 Sales 和 COGS 数据创建簇状柱形图，图表标题设为 Sales &amp; COGS。</x:v>
      </x:c>
      <x:c r="AC41" s="39" t="str">
        <x:v>第1项实际操作：在 WeeklySales.xlsx 新建 Sheet2，为每周的 Sales 和 COGS 数据创建簇状柱形图，图表标题设为 Sales &amp; COGS。执行时必须满足：图表放在 Sheet2；图表类型为簇状柱形图；标题必须为 Sales &amp; COGS。</x:v>
      </x:c>
      <x:c r="AD41" s="39" t="str">
        <x:v>用户的完整请求是：“WeeklySales 这次做 Sales/COGS 簇状柱图，放 Sheet2，图名别改。” 第1个当前上下文：WeeklySales.xlsx 已在 LibreOffice Calc 中打开。 当前请求是在已有办公上下文中继续、复用或重新强调既有处理方式。与该请求唯一对应的完整必需记忆如下：
第1条记忆（中期/可复用模板）：在 WeeklySales.xlsx 新建 Sheet2，为每周的 Sales 和 COGS 数据创建簇状柱形图，图表标题设为 Sales &amp; COGS。关键约束：图表放在 Sheet2；图表类型为簇状柱形图；标题必须为 Sales &amp; COGS。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新建 Sheet2，为每周的 Sales 和 COGS 数据创建簇状柱形图，图表标题设为 Sales &amp; COGS。”</x:v>
      </x:c>
      <x:c r="AE4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第2个得分点（0.20分）：正确定位目标对象 WeeklySales.xlsx。该得分点所依据的完整证据为：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第3个得分点（0.30分）：满足关键条件：图表放在 Sheet2；图表类型为簇状柱形图；标题必须为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第4个得分点（0.10分）：不采用禁止记忆中的冲突方案。该得分点所依据的完整证据为：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1" s="50" t="str">
        <x:v>not_pass</x:v>
      </x:c>
      <x:c r="AG41" s="50" t="n">
        <x:v>0</x:v>
      </x:c>
    </x:row>
    <x:row r="42" ht="189" customHeight="1">
      <x:c r="A42" s="35" t="str">
        <x:v>1273e544-688f-496b-8d89-3e0f40aa0606_HQ1</x:v>
      </x:c>
      <x:c r="B42" s="36" t="str">
        <x:v>SG_TASK_1273e544-688f-496b-8d89-3e0f40aa0606</x:v>
      </x:c>
      <x:c r="C42" s="36" t="str">
        <x:v>1273e544-688f-496b-8d89-3e0f40aa0606</x:v>
      </x:c>
      <x:c r="D42" s="36" t="str">
        <x:v>NetIncome.xlsx</x:v>
      </x:c>
      <x:c r="E42" s="36" t="str">
        <x:v>single_memory</x:v>
      </x:c>
      <x:c r="F42" s="36" t="str">
        <x:v>human_context_explicit</x:v>
      </x:c>
      <x:c r="G42" s="36" t="str">
        <x:v>train</x:v>
      </x:c>
      <x:c r="H42" s="36" t="str">
        <x:v>简单</x:v>
      </x:c>
      <x:c r="I42" s="36" t="str">
        <x:v>1273e544-688f-496b-8d89-3e0f40aa0606</x:v>
      </x:c>
      <x:c r="J42" s="36" t="str">
        <x:v>CTX_1273e544-688f-496b-8d89-3e0f40aa0606</x:v>
      </x:c>
      <x:c r="K42" s="36" t="str">
        <x:v>LTM_1273e544-688f-496b-8d89-3e0f40aa0606</x:v>
      </x:c>
      <x:c r="L42" s="36" t="str"/>
      <x:c r="M42" s="36" t="str">
        <x:v>LTM_42e0a640-4f19-4b28-973d-729602b5a4a7</x:v>
      </x:c>
      <x:c r="N42" s="36" t="str">
        <x:v>工作流程</x:v>
      </x:c>
      <x:c r="O42" s="36" t="str">
        <x:v>长期</x:v>
      </x:c>
      <x:c r="P42" s="36" t="str">
        <x:v>["libreoffice_calc"]</x:v>
      </x:c>
      <x:c r="Q42" s="36" t="str">
        <x:v>[{"step_id":"S1","app":"libreoffice_calc","action_key":"copy_revenue_column_to_sheet2","input_artifacts":["NetIncome.xlsx"],"output_artifacts":["NetIncome.xlsx"],"depends_on":[]}]</x:v>
      </x:c>
      <x:c r="R42" s="36" t="str">
        <x:v>[]</x:v>
      </x:c>
      <x:c r="S42" s="36" t="str">
        <x:v>copy_revenue_column_to_sheet2</x:v>
      </x:c>
      <x:c r="T42" s="36" t="str">
        <x:v>NetIncome.xlsx</x:v>
      </x:c>
      <x:c r="U42" s="36" t="str">
        <x:v>retrieve_and_execute</x:v>
      </x:c>
      <x:c r="V42" s="36" t="str">
        <x:v>[{"point_id":"P1","description":"主要处理方式与预期动作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x:v>
      </x:c>
      <x:c r="W42" s="36" t="str">
        <x:v>1.00</x:v>
      </x:c>
      <x:c r="X42" s="39" t="str">
        <x:v>NetIncome.xlsx 里我只需要 Revenue 这一列，按之前的做法连表头复制到新建的 Sheet2。</x:v>
      </x:c>
      <x:c r="Y42" s="39" t="str">
        <x:v>第1条记忆（长期/工作流程）：把 NetIncome.xlsx 中 Revenue 列连同表头完整复制到新建的 Sheet2。关键约束：必须包含 Revenue 表头；目标为新建 Sheet2；不进行求和或复制其他列。</x:v>
      </x:c>
      <x:c r="Z42" s="39" t="str">
        <x:v>不适用：当前题目不存在需要用户进一步选择的候选记忆。</x:v>
      </x:c>
      <x:c r="AA42"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42" s="39" t="str">
        <x:v>应执行以下操作：把 NetIncome.xlsx 中 Revenue 列连同表头完整复制到新建的 Sheet2。</x:v>
      </x:c>
      <x:c r="AC42" s="39" t="str">
        <x:v>第1项实际操作：把 NetIncome.xlsx 中 Revenue 列连同表头完整复制到新建的 Sheet2。执行时必须满足：必须包含 Revenue 表头；目标为新建 Sheet2；不进行求和或复制其他列。</x:v>
      </x:c>
      <x:c r="AD42" s="39" t="str">
        <x:v>用户的完整请求是：“NetIncome.xlsx 里我只需要 Revenue 这一列，按之前的做法连表头复制到新建的 Sheet2。”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x:v>
      </x:c>
      <x:c r="AE4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2" s="50" t="str">
        <x:v>not_pass</x:v>
      </x:c>
      <x:c r="AG42" s="50" t="n">
        <x:v>0</x:v>
      </x:c>
    </x:row>
    <x:row r="43" ht="189" customHeight="1">
      <x:c r="A43" s="35" t="str">
        <x:v>1273e544-688f-496b-8d89-3e0f40aa0606_HQ2</x:v>
      </x:c>
      <x:c r="B43" s="36" t="str">
        <x:v>SG_TASK_1273e544-688f-496b-8d89-3e0f40aa0606</x:v>
      </x:c>
      <x:c r="C43" s="36" t="str">
        <x:v>1273e544-688f-496b-8d89-3e0f40aa0606</x:v>
      </x:c>
      <x:c r="D43" s="36" t="str">
        <x:v>NetIncome.xlsx</x:v>
      </x:c>
      <x:c r="E43" s="36" t="str">
        <x:v>single_memory</x:v>
      </x:c>
      <x:c r="F43" s="36" t="str">
        <x:v>human_goal_oriented</x:v>
      </x:c>
      <x:c r="G43" s="36" t="str">
        <x:v>train</x:v>
      </x:c>
      <x:c r="H43" s="36" t="str">
        <x:v>中等</x:v>
      </x:c>
      <x:c r="I43" s="36" t="str">
        <x:v>1273e544-688f-496b-8d89-3e0f40aa0606</x:v>
      </x:c>
      <x:c r="J43" s="36" t="str">
        <x:v>CTX_1273e544-688f-496b-8d89-3e0f40aa0606</x:v>
      </x:c>
      <x:c r="K43" s="36" t="str">
        <x:v>LTM_1273e544-688f-496b-8d89-3e0f40aa0606</x:v>
      </x:c>
      <x:c r="L43" s="36" t="str"/>
      <x:c r="M43" s="36" t="str">
        <x:v>LTM_42e0a640-4f19-4b28-973d-729602b5a4a7</x:v>
      </x:c>
      <x:c r="N43" s="36" t="str">
        <x:v>工作流程</x:v>
      </x:c>
      <x:c r="O43" s="36" t="str">
        <x:v>长期</x:v>
      </x:c>
      <x:c r="P43" s="36" t="str">
        <x:v>["libreoffice_calc"]</x:v>
      </x:c>
      <x:c r="Q43" s="36" t="str">
        <x:v>[{"step_id":"S1","app":"libreoffice_calc","action_key":"copy_revenue_column_to_sheet2","input_artifacts":["NetIncome.xlsx"],"output_artifacts":["NetIncome.xlsx"],"depends_on":[]}]</x:v>
      </x:c>
      <x:c r="R43" s="36" t="str">
        <x:v>[]</x:v>
      </x:c>
      <x:c r="S43" s="36" t="str">
        <x:v>copy_revenue_column_to_sheet2</x:v>
      </x:c>
      <x:c r="T43" s="36" t="str">
        <x:v>NetIncome.xlsx</x:v>
      </x:c>
      <x:c r="U43" s="36" t="str">
        <x:v>retrieve_and_execute</x:v>
      </x:c>
      <x:c r="V43" s="36" t="str">
        <x:v>[{"point_id":"P1","description":"主要处理方式与预期动作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x:v>
      </x:c>
      <x:c r="W43" s="36" t="str">
        <x:v>1.00</x:v>
      </x:c>
      <x:c r="X43" s="39" t="str">
        <x:v>这份净收益表要单独抽出收入数据，帮我把 Revenue 整列放到第二张表，列名也保留。</x:v>
      </x:c>
      <x:c r="Y43" s="39" t="str">
        <x:v>第1条记忆（长期/工作流程）：把 NetIncome.xlsx 中 Revenue 列连同表头完整复制到新建的 Sheet2。关键约束：必须包含 Revenue 表头；目标为新建 Sheet2；不进行求和或复制其他列。</x:v>
      </x:c>
      <x:c r="Z43" s="39" t="str">
        <x:v>不适用：当前题目不存在需要用户进一步选择的候选记忆。</x:v>
      </x:c>
      <x:c r="AA43"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43" s="39" t="str">
        <x:v>应执行以下操作：把 NetIncome.xlsx 中 Revenue 列连同表头完整复制到新建的 Sheet2。</x:v>
      </x:c>
      <x:c r="AC43" s="39" t="str">
        <x:v>第1项实际操作：把 NetIncome.xlsx 中 Revenue 列连同表头完整复制到新建的 Sheet2。执行时必须满足：必须包含 Revenue 表头；目标为新建 Sheet2；不进行求和或复制其他列。</x:v>
      </x:c>
      <x:c r="AD43" s="39" t="str">
        <x:v>用户的完整请求是：“这份净收益表要单独抽出收入数据，帮我把 Revenue 整列放到第二张表，列名也保留。”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x:v>
      </x:c>
      <x:c r="AE4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3" s="50" t="str">
        <x:v>not_pass</x:v>
      </x:c>
      <x:c r="AG43" s="50" t="n">
        <x:v>0</x:v>
      </x:c>
    </x:row>
    <x:row r="44" ht="189" customHeight="1">
      <x:c r="A44" s="35" t="str">
        <x:v>1273e544-688f-496b-8d89-3e0f40aa0606_HQ3</x:v>
      </x:c>
      <x:c r="B44" s="36" t="str">
        <x:v>SG_TASK_1273e544-688f-496b-8d89-3e0f40aa0606</x:v>
      </x:c>
      <x:c r="C44" s="36" t="str">
        <x:v>1273e544-688f-496b-8d89-3e0f40aa0606</x:v>
      </x:c>
      <x:c r="D44" s="36" t="str">
        <x:v>NetIncome.xlsx</x:v>
      </x:c>
      <x:c r="E44" s="36" t="str">
        <x:v>single_memory</x:v>
      </x:c>
      <x:c r="F44" s="36" t="str">
        <x:v>contextual_ellipsis</x:v>
      </x:c>
      <x:c r="G44" s="36" t="str">
        <x:v>train</x:v>
      </x:c>
      <x:c r="H44" s="36" t="str">
        <x:v>中等</x:v>
      </x:c>
      <x:c r="I44" s="36" t="str">
        <x:v>1273e544-688f-496b-8d89-3e0f40aa0606</x:v>
      </x:c>
      <x:c r="J44" s="36" t="str">
        <x:v>CTX_1273e544-688f-496b-8d89-3e0f40aa0606</x:v>
      </x:c>
      <x:c r="K44" s="36" t="str">
        <x:v>LTM_1273e544-688f-496b-8d89-3e0f40aa0606</x:v>
      </x:c>
      <x:c r="L44" s="36" t="str"/>
      <x:c r="M44" s="36" t="str">
        <x:v>LTM_42e0a640-4f19-4b28-973d-729602b5a4a7</x:v>
      </x:c>
      <x:c r="N44" s="36" t="str">
        <x:v>工作流程</x:v>
      </x:c>
      <x:c r="O44" s="36" t="str">
        <x:v>长期</x:v>
      </x:c>
      <x:c r="P44" s="36" t="str">
        <x:v>["libreoffice_calc"]</x:v>
      </x:c>
      <x:c r="Q44" s="36" t="str">
        <x:v>[{"step_id":"S1","app":"libreoffice_calc","action_key":"copy_revenue_column_to_sheet2","input_artifacts":["NetIncome.xlsx"],"output_artifacts":["NetIncome.xlsx"],"depends_on":[]}]</x:v>
      </x:c>
      <x:c r="R44" s="36" t="str">
        <x:v>[]</x:v>
      </x:c>
      <x:c r="S44" s="36" t="str">
        <x:v>copy_revenue_column_to_sheet2</x:v>
      </x:c>
      <x:c r="T44" s="36" t="str">
        <x:v>NetIncome.xlsx</x:v>
      </x:c>
      <x:c r="U44" s="36" t="str">
        <x:v>retrieve_and_execute</x:v>
      </x:c>
      <x:c r="V44" s="36" t="str">
        <x:v>[{"point_id":"P1","description":"主要处理方式与预期动作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x:v>
      </x:c>
      <x:c r="W44" s="36" t="str">
        <x:v>1.00</x:v>
      </x:c>
      <x:c r="X44" s="39" t="str">
        <x:v>当前文件先别汇总，只把收入列原样搬到 Sheet2。</x:v>
      </x:c>
      <x:c r="Y44" s="39" t="str">
        <x:v>第1条记忆（长期/工作流程）：把 NetIncome.xlsx 中 Revenue 列连同表头完整复制到新建的 Sheet2。关键约束：必须包含 Revenue 表头；目标为新建 Sheet2；不进行求和或复制其他列。</x:v>
      </x:c>
      <x:c r="Z44" s="39" t="str">
        <x:v>不适用：当前题目不存在需要用户进一步选择的候选记忆。</x:v>
      </x:c>
      <x:c r="AA44"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44" s="39" t="str">
        <x:v>应执行以下操作：把 NetIncome.xlsx 中 Revenue 列连同表头完整复制到新建的 Sheet2。</x:v>
      </x:c>
      <x:c r="AC44" s="39" t="str">
        <x:v>第1项实际操作：把 NetIncome.xlsx 中 Revenue 列连同表头完整复制到新建的 Sheet2。执行时必须满足：必须包含 Revenue 表头；目标为新建 Sheet2；不进行求和或复制其他列。</x:v>
      </x:c>
      <x:c r="AD44" s="39" t="str">
        <x:v>用户的完整请求是：“当前文件先别汇总，只把收入列原样搬到 Sheet2。”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x:v>
      </x:c>
      <x:c r="AE4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4" s="50" t="str">
        <x:v>not_pass</x:v>
      </x:c>
      <x:c r="AG44" s="50" t="n">
        <x:v>0</x:v>
      </x:c>
    </x:row>
    <x:row r="45" ht="189" customHeight="1">
      <x:c r="A45" s="35" t="str">
        <x:v>1273e544-688f-496b-8d89-3e0f40aa0606_HQ4</x:v>
      </x:c>
      <x:c r="B45" s="36" t="str">
        <x:v>SG_TASK_1273e544-688f-496b-8d89-3e0f40aa0606</x:v>
      </x:c>
      <x:c r="C45" s="36" t="str">
        <x:v>1273e544-688f-496b-8d89-3e0f40aa0606</x:v>
      </x:c>
      <x:c r="D45" s="36" t="str">
        <x:v>NetIncome.xlsx</x:v>
      </x:c>
      <x:c r="E45" s="36" t="str">
        <x:v>single_memory</x:v>
      </x:c>
      <x:c r="F45" s="36" t="str">
        <x:v>low_overlap_paraphrase</x:v>
      </x:c>
      <x:c r="G45" s="36" t="str">
        <x:v>train</x:v>
      </x:c>
      <x:c r="H45" s="36" t="str">
        <x:v>困难</x:v>
      </x:c>
      <x:c r="I45" s="36" t="str">
        <x:v>1273e544-688f-496b-8d89-3e0f40aa0606</x:v>
      </x:c>
      <x:c r="J45" s="36" t="str">
        <x:v>CTX_1273e544-688f-496b-8d89-3e0f40aa0606</x:v>
      </x:c>
      <x:c r="K45" s="36" t="str">
        <x:v>LTM_1273e544-688f-496b-8d89-3e0f40aa0606</x:v>
      </x:c>
      <x:c r="L45" s="36" t="str"/>
      <x:c r="M45" s="36" t="str">
        <x:v>LTM_42e0a640-4f19-4b28-973d-729602b5a4a7</x:v>
      </x:c>
      <x:c r="N45" s="36" t="str">
        <x:v>工作流程</x:v>
      </x:c>
      <x:c r="O45" s="36" t="str">
        <x:v>长期</x:v>
      </x:c>
      <x:c r="P45" s="36" t="str">
        <x:v>["libreoffice_calc"]</x:v>
      </x:c>
      <x:c r="Q45" s="36" t="str">
        <x:v>[{"step_id":"S1","app":"libreoffice_calc","action_key":"copy_revenue_column_to_sheet2","input_artifacts":["NetIncome.xlsx"],"output_artifacts":["NetIncome.xlsx"],"depends_on":[]}]</x:v>
      </x:c>
      <x:c r="R45" s="36" t="str">
        <x:v>[]</x:v>
      </x:c>
      <x:c r="S45" s="36" t="str">
        <x:v>copy_revenue_column_to_sheet2</x:v>
      </x:c>
      <x:c r="T45" s="36" t="str">
        <x:v>NetIncome.xlsx</x:v>
      </x:c>
      <x:c r="U45" s="36" t="str">
        <x:v>retrieve_and_execute</x:v>
      </x:c>
      <x:c r="V45" s="36" t="str">
        <x:v>[{"point_id":"P1","description":"主要处理方式与预期动作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x:v>
      </x:c>
      <x:c r="W45" s="36" t="str">
        <x:v>1.00</x:v>
      </x:c>
      <x:c r="X45" s="39" t="str">
        <x:v>我准备单独检查收入明细，把对应那一列连标题另放一张表即可。</x:v>
      </x:c>
      <x:c r="Y45" s="39" t="str">
        <x:v>第1条记忆（长期/工作流程）：把 NetIncome.xlsx 中 Revenue 列连同表头完整复制到新建的 Sheet2。关键约束：必须包含 Revenue 表头；目标为新建 Sheet2；不进行求和或复制其他列。</x:v>
      </x:c>
      <x:c r="Z45" s="39" t="str">
        <x:v>不适用：当前题目不存在需要用户进一步选择的候选记忆。</x:v>
      </x:c>
      <x:c r="AA45"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45" s="39" t="str">
        <x:v>应执行以下操作：把 NetIncome.xlsx 中 Revenue 列连同表头完整复制到新建的 Sheet2。</x:v>
      </x:c>
      <x:c r="AC45" s="39" t="str">
        <x:v>第1项实际操作：把 NetIncome.xlsx 中 Revenue 列连同表头完整复制到新建的 Sheet2。执行时必须满足：必须包含 Revenue 表头；目标为新建 Sheet2；不进行求和或复制其他列。</x:v>
      </x:c>
      <x:c r="AD45" s="39" t="str">
        <x:v>用户的完整请求是：“我准备单独检查收入明细，把对应那一列连标题另放一张表即可。”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x:v>
      </x:c>
      <x:c r="AE4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5" s="50" t="str">
        <x:v>not_pass</x:v>
      </x:c>
      <x:c r="AG45" s="50" t="n">
        <x:v>0</x:v>
      </x:c>
    </x:row>
    <x:row r="46" ht="189" customHeight="1">
      <x:c r="A46" s="35" t="str">
        <x:v>1273e544-688f-496b-8d89-3e0f40aa0606_HQ5</x:v>
      </x:c>
      <x:c r="B46" s="36" t="str">
        <x:v>SG_TASK_1273e544-688f-496b-8d89-3e0f40aa0606</x:v>
      </x:c>
      <x:c r="C46" s="36" t="str">
        <x:v>1273e544-688f-496b-8d89-3e0f40aa0606</x:v>
      </x:c>
      <x:c r="D46" s="36" t="str">
        <x:v>NetIncome.xlsx</x:v>
      </x:c>
      <x:c r="E46" s="36" t="str">
        <x:v>single_memory</x:v>
      </x:c>
      <x:c r="F46" s="36" t="str">
        <x:v>human_constraint_emphasis</x:v>
      </x:c>
      <x:c r="G46" s="36" t="str">
        <x:v>train</x:v>
      </x:c>
      <x:c r="H46" s="36" t="str">
        <x:v>困难</x:v>
      </x:c>
      <x:c r="I46" s="36" t="str">
        <x:v>1273e544-688f-496b-8d89-3e0f40aa0606</x:v>
      </x:c>
      <x:c r="J46" s="36" t="str">
        <x:v>CTX_1273e544-688f-496b-8d89-3e0f40aa0606</x:v>
      </x:c>
      <x:c r="K46" s="36" t="str">
        <x:v>LTM_1273e544-688f-496b-8d89-3e0f40aa0606</x:v>
      </x:c>
      <x:c r="L46" s="36" t="str"/>
      <x:c r="M46" s="36" t="str">
        <x:v>LTM_42e0a640-4f19-4b28-973d-729602b5a4a7</x:v>
      </x:c>
      <x:c r="N46" s="36" t="str">
        <x:v>工作流程</x:v>
      </x:c>
      <x:c r="O46" s="36" t="str">
        <x:v>长期</x:v>
      </x:c>
      <x:c r="P46" s="36" t="str">
        <x:v>["libreoffice_calc"]</x:v>
      </x:c>
      <x:c r="Q46" s="36" t="str">
        <x:v>[{"step_id":"S1","app":"libreoffice_calc","action_key":"copy_revenue_column_to_sheet2","input_artifacts":["NetIncome.xlsx"],"output_artifacts":["NetIncome.xlsx"],"depends_on":[]}]</x:v>
      </x:c>
      <x:c r="R46" s="36" t="str">
        <x:v>[]</x:v>
      </x:c>
      <x:c r="S46" s="36" t="str">
        <x:v>copy_revenue_column_to_sheet2</x:v>
      </x:c>
      <x:c r="T46" s="36" t="str">
        <x:v>NetIncome.xlsx</x:v>
      </x:c>
      <x:c r="U46" s="36" t="str">
        <x:v>retrieve_and_execute</x:v>
      </x:c>
      <x:c r="V46" s="36" t="str">
        <x:v>[{"point_id":"P1","description":"主要处理方式与预期动作 copy_revenue_column_to_sheet2 语义一致","weight":0.4,"evidence_memory_ids":["LTM_1273e544-688f-496b-8d89-3e0f40aa0606"]},{"point_id":"P2","description":"正确定位目标对象 NetIncome.xlsx","weight":0.2,"evidence_memory_ids":["LTM_1273e544-688f-496b-8d89-3e0f40aa0606"]},{"point_id":"P3","description":"满足关键条件：必须包含 Revenue 表头；目标为新建 Sheet2；不进行求和或复制其他列","weight":0.3,"evidence_memory_ids":["LTM_1273e544-688f-496b-8d89-3e0f40aa0606"]},{"point_id":"P4","description":"不采用禁止记忆中的冲突方案","weight":0.1,"evidence_memory_ids":["LTM_1273e544-688f-496b-8d89-3e0f40aa0606","LTM_42e0a640-4f19-4b28-973d-729602b5a4a7"]}]</x:v>
      </x:c>
      <x:c r="W46" s="36" t="str">
        <x:v>1.00</x:v>
      </x:c>
      <x:c r="X46" s="39" t="str">
        <x:v>NetIncome 这次是复制 Revenue，不是算总额；新建 Sheet2 后原样放过去。</x:v>
      </x:c>
      <x:c r="Y46" s="39" t="str">
        <x:v>第1条记忆（长期/工作流程）：把 NetIncome.xlsx 中 Revenue 列连同表头完整复制到新建的 Sheet2。关键约束：必须包含 Revenue 表头；目标为新建 Sheet2；不进行求和或复制其他列。</x:v>
      </x:c>
      <x:c r="Z46" s="39" t="str">
        <x:v>不适用：当前题目不存在需要用户进一步选择的候选记忆。</x:v>
      </x:c>
      <x:c r="AA46"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46" s="39" t="str">
        <x:v>应执行以下操作：把 NetIncome.xlsx 中 Revenue 列连同表头完整复制到新建的 Sheet2。</x:v>
      </x:c>
      <x:c r="AC46" s="39" t="str">
        <x:v>第1项实际操作：把 NetIncome.xlsx 中 Revenue 列连同表头完整复制到新建的 Sheet2。执行时必须满足：必须包含 Revenue 表头；目标为新建 Sheet2；不进行求和或复制其他列。</x:v>
      </x:c>
      <x:c r="AD46" s="39" t="str">
        <x:v>用户的完整请求是：“NetIncome 这次是复制 Revenue，不是算总额；新建 Sheet2 后原样放过去。” 第1个当前上下文：NetIncome.xlsx 已在 LibreOffice Calc 中打开。 当前请求是在已有办公上下文中继续、复用或重新强调既有处理方式。与该请求唯一对应的完整必需记忆如下：
第1条记忆（长期/工作流程）：把 NetIncome.xlsx 中 Revenue 列连同表头完整复制到新建的 Sheet2。关键约束：必须包含 Revenue 表头；目标为新建 Sheet2；不进行求和或复制其他列。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NetIncome.xlsx 中 Revenue 列连同表头完整复制到新建的 Sheet2。”</x:v>
      </x:c>
      <x:c r="AE4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第1条记忆（长期/工作流程）：把 NetIncome.xlsx 中 Revenue 列连同表头完整复制到新建的 Sheet2。关键约束：必须包含 Revenue 表头；目标为新建 Sheet2；不进行求和或复制其他列。
第2个得分点（0.20分）：正确定位目标对象 NetIncome.xlsx。该得分点所依据的完整证据为：
第1条记忆（长期/工作流程）：把 NetIncome.xlsx 中 Revenue 列连同表头完整复制到新建的 Sheet2。关键约束：必须包含 Revenue 表头；目标为新建 Sheet2；不进行求和或复制其他列。
第3个得分点（0.30分）：满足关键条件：必须包含 Revenue 表头；目标为新建 Sheet2；不进行求和或复制其他列。该得分点所依据的完整证据为：
第1条记忆（长期/工作流程）：把 NetIncome.xlsx 中 Revenue 列连同表头完整复制到新建的 Sheet2。关键约束：必须包含 Revenue 表头；目标为新建 Sheet2；不进行求和或复制其他列。
第4个得分点（0.10分）：不采用禁止记忆中的冲突方案。该得分点所依据的完整证据为：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6" s="50" t="str">
        <x:v>not_pass</x:v>
      </x:c>
      <x:c r="AG46" s="50" t="n">
        <x:v>0</x:v>
      </x:c>
    </x:row>
    <x:row r="47" ht="165" customHeight="1">
      <x:c r="A47" s="35" t="str">
        <x:v>1334ca3e-f9e3-4db8-9ca7-b4c653be7d17_HQ1</x:v>
      </x:c>
      <x:c r="B47" s="36" t="str">
        <x:v>SG_TASK_1334ca3e-f9e3-4db8-9ca7-b4c653be7d17</x:v>
      </x:c>
      <x:c r="C47" s="36" t="str">
        <x:v>1334ca3e-f9e3-4db8-9ca7-b4c653be7d17</x:v>
      </x:c>
      <x:c r="D47" s="36" t="str">
        <x:v>Zoom_Out_Oversized_Cells.xlsx</x:v>
      </x:c>
      <x:c r="E47" s="36" t="str">
        <x:v>single_memory</x:v>
      </x:c>
      <x:c r="F47" s="36" t="str">
        <x:v>human_context_explicit</x:v>
      </x:c>
      <x:c r="G47" s="36" t="str">
        <x:v>train</x:v>
      </x:c>
      <x:c r="H47" s="36" t="str">
        <x:v>简单</x:v>
      </x:c>
      <x:c r="I47" s="36" t="str">
        <x:v>1334ca3e-f9e3-4db8-9ca7-b4c653be7d17</x:v>
      </x:c>
      <x:c r="J47" s="36" t="str">
        <x:v>CTX_1334ca3e-f9e3-4db8-9ca7-b4c653be7d17</x:v>
      </x:c>
      <x:c r="K47" s="36" t="str">
        <x:v>STM_1334ca3e-f9e3-4db8-9ca7-b4c653be7d17</x:v>
      </x:c>
      <x:c r="L47" s="36" t="str"/>
      <x:c r="M47" s="36" t="str"/>
      <x:c r="N47" s="36" t="str">
        <x:v>事件</x:v>
      </x:c>
      <x:c r="O47" s="36" t="str">
        <x:v>短期</x:v>
      </x:c>
      <x:c r="P47" s="36" t="str">
        <x:v>["libreoffice_calc"]</x:v>
      </x:c>
      <x:c r="Q47" s="36" t="str">
        <x:v>[{"step_id":"S1","app":"libreoffice_calc","action_key":"zoom_out_spreadsheet_view","input_artifacts":["Zoom_Out_Oversized_Cells.xlsx"],"output_artifacts":["Zoom_Out_Oversized_Cells.xlsx"],"depends_on":[]}]</x:v>
      </x:c>
      <x:c r="R47" s="36" t="str">
        <x:v>[]</x:v>
      </x:c>
      <x:c r="S47" s="36" t="str">
        <x:v>zoom_out_spreadsheet_view</x:v>
      </x:c>
      <x:c r="T47" s="36" t="str">
        <x:v>Zoom_Out_Oversized_Cells.xlsx</x:v>
      </x:c>
      <x:c r="U47" s="36" t="str">
        <x:v>retrieve_and_execute</x:v>
      </x:c>
      <x:c r="V47" s="36" t="str">
        <x:v>[{"point_id":"P1","description":"主要处理方式与预期动作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x:v>
      </x:c>
      <x:c r="W47" s="36" t="str">
        <x:v>1.00</x:v>
      </x:c>
      <x:c r="X47" s="39" t="str">
        <x:v>Zoom_Out_Oversized_Cells.xlsx 现在格子太大，帮我把视图缩小一点，让我能点到要看的单元格。</x:v>
      </x:c>
      <x:c r="Y47" s="39" t="str">
        <x:v>第1条记忆（短期/事件）：用户在 Zoom_Out_Oversized_Cells.xlsx 中因单元格显示过大而难以点击目标单元格，需要适当缩小工作表视图。关键约束：只调整视图缩放；不修改单元格内容或格式。</x:v>
      </x:c>
      <x:c r="Z47" s="39" t="str">
        <x:v>不适用：当前题目不存在需要用户进一步选择的候选记忆。</x:v>
      </x:c>
      <x:c r="AA47" s="39" t="str">
        <x:v>不适用：当前题目没有指定需要排除的冲突或禁止记忆。</x:v>
      </x:c>
      <x:c r="AB47" s="39" t="str">
        <x:v>应执行以下操作：用户在 Zoom_Out_Oversized_Cells.xlsx 中因单元格显示过大而难以点击目标单元格，需要适当缩小工作表视图。</x:v>
      </x:c>
      <x:c r="AC47" s="39" t="str">
        <x:v>第1项实际操作：用户在 Zoom_Out_Oversized_Cells.xlsx 中因单元格显示过大而难以点击目标单元格，需要适当缩小工作表视图。执行时必须满足：只调整视图缩放；不修改单元格内容或格式。</x:v>
      </x:c>
      <x:c r="AD47" s="39" t="str">
        <x:v>用户的完整请求是：“Zoom_Out_Oversized_Cells.xlsx 现在格子太大，帮我把视图缩小一点，让我能点到要看的单元格。”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x:v>
      </x:c>
      <x:c r="AE4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47" s="50" t="str">
        <x:v>not_pass</x:v>
      </x:c>
      <x:c r="AG47" s="50" t="n">
        <x:v>0</x:v>
      </x:c>
    </x:row>
    <x:row r="48" ht="165" customHeight="1">
      <x:c r="A48" s="35" t="str">
        <x:v>1334ca3e-f9e3-4db8-9ca7-b4c653be7d17_HQ2</x:v>
      </x:c>
      <x:c r="B48" s="36" t="str">
        <x:v>SG_TASK_1334ca3e-f9e3-4db8-9ca7-b4c653be7d17</x:v>
      </x:c>
      <x:c r="C48" s="36" t="str">
        <x:v>1334ca3e-f9e3-4db8-9ca7-b4c653be7d17</x:v>
      </x:c>
      <x:c r="D48" s="36" t="str">
        <x:v>Zoom_Out_Oversized_Cells.xlsx</x:v>
      </x:c>
      <x:c r="E48" s="36" t="str">
        <x:v>single_memory</x:v>
      </x:c>
      <x:c r="F48" s="36" t="str">
        <x:v>human_goal_oriented</x:v>
      </x:c>
      <x:c r="G48" s="36" t="str">
        <x:v>train</x:v>
      </x:c>
      <x:c r="H48" s="36" t="str">
        <x:v>中等</x:v>
      </x:c>
      <x:c r="I48" s="36" t="str">
        <x:v>1334ca3e-f9e3-4db8-9ca7-b4c653be7d17</x:v>
      </x:c>
      <x:c r="J48" s="36" t="str">
        <x:v>CTX_1334ca3e-f9e3-4db8-9ca7-b4c653be7d17</x:v>
      </x:c>
      <x:c r="K48" s="36" t="str">
        <x:v>STM_1334ca3e-f9e3-4db8-9ca7-b4c653be7d17</x:v>
      </x:c>
      <x:c r="L48" s="36" t="str"/>
      <x:c r="M48" s="36" t="str"/>
      <x:c r="N48" s="36" t="str">
        <x:v>事件</x:v>
      </x:c>
      <x:c r="O48" s="36" t="str">
        <x:v>短期</x:v>
      </x:c>
      <x:c r="P48" s="36" t="str">
        <x:v>["libreoffice_calc"]</x:v>
      </x:c>
      <x:c r="Q48" s="36" t="str">
        <x:v>[{"step_id":"S1","app":"libreoffice_calc","action_key":"zoom_out_spreadsheet_view","input_artifacts":["Zoom_Out_Oversized_Cells.xlsx"],"output_artifacts":["Zoom_Out_Oversized_Cells.xlsx"],"depends_on":[]}]</x:v>
      </x:c>
      <x:c r="R48" s="36" t="str">
        <x:v>[]</x:v>
      </x:c>
      <x:c r="S48" s="36" t="str">
        <x:v>zoom_out_spreadsheet_view</x:v>
      </x:c>
      <x:c r="T48" s="36" t="str">
        <x:v>Zoom_Out_Oversized_Cells.xlsx</x:v>
      </x:c>
      <x:c r="U48" s="36" t="str">
        <x:v>retrieve_and_execute</x:v>
      </x:c>
      <x:c r="V48" s="36" t="str">
        <x:v>[{"point_id":"P1","description":"主要处理方式与预期动作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x:v>
      </x:c>
      <x:c r="W48" s="36" t="str">
        <x:v>1.00</x:v>
      </x:c>
      <x:c r="X48" s="39" t="str">
        <x:v>我在这张表里移动很不方便，画面再拉远一些就行，数据本身不要动。</x:v>
      </x:c>
      <x:c r="Y48" s="39" t="str">
        <x:v>第1条记忆（短期/事件）：用户在 Zoom_Out_Oversized_Cells.xlsx 中因单元格显示过大而难以点击目标单元格，需要适当缩小工作表视图。关键约束：只调整视图缩放；不修改单元格内容或格式。</x:v>
      </x:c>
      <x:c r="Z48" s="39" t="str">
        <x:v>不适用：当前题目不存在需要用户进一步选择的候选记忆。</x:v>
      </x:c>
      <x:c r="AA48" s="39" t="str">
        <x:v>不适用：当前题目没有指定需要排除的冲突或禁止记忆。</x:v>
      </x:c>
      <x:c r="AB48" s="39" t="str">
        <x:v>应执行以下操作：用户在 Zoom_Out_Oversized_Cells.xlsx 中因单元格显示过大而难以点击目标单元格，需要适当缩小工作表视图。</x:v>
      </x:c>
      <x:c r="AC48" s="39" t="str">
        <x:v>第1项实际操作：用户在 Zoom_Out_Oversized_Cells.xlsx 中因单元格显示过大而难以点击目标单元格，需要适当缩小工作表视图。执行时必须满足：只调整视图缩放；不修改单元格内容或格式。</x:v>
      </x:c>
      <x:c r="AD48" s="39" t="str">
        <x:v>用户的完整请求是：“我在这张表里移动很不方便，画面再拉远一些就行，数据本身不要动。”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x:v>
      </x:c>
      <x:c r="AE4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48" s="50" t="str">
        <x:v>not_pass</x:v>
      </x:c>
      <x:c r="AG48" s="50" t="n">
        <x:v>0</x:v>
      </x:c>
    </x:row>
    <x:row r="49" ht="165" customHeight="1">
      <x:c r="A49" s="35" t="str">
        <x:v>1334ca3e-f9e3-4db8-9ca7-b4c653be7d17_HQ3</x:v>
      </x:c>
      <x:c r="B49" s="36" t="str">
        <x:v>SG_TASK_1334ca3e-f9e3-4db8-9ca7-b4c653be7d17</x:v>
      </x:c>
      <x:c r="C49" s="36" t="str">
        <x:v>1334ca3e-f9e3-4db8-9ca7-b4c653be7d17</x:v>
      </x:c>
      <x:c r="D49" s="36" t="str">
        <x:v>Zoom_Out_Oversized_Cells.xlsx</x:v>
      </x:c>
      <x:c r="E49" s="36" t="str">
        <x:v>single_memory</x:v>
      </x:c>
      <x:c r="F49" s="36" t="str">
        <x:v>contextual_ellipsis</x:v>
      </x:c>
      <x:c r="G49" s="36" t="str">
        <x:v>train</x:v>
      </x:c>
      <x:c r="H49" s="36" t="str">
        <x:v>中等</x:v>
      </x:c>
      <x:c r="I49" s="36" t="str">
        <x:v>1334ca3e-f9e3-4db8-9ca7-b4c653be7d17</x:v>
      </x:c>
      <x:c r="J49" s="36" t="str">
        <x:v>CTX_1334ca3e-f9e3-4db8-9ca7-b4c653be7d17</x:v>
      </x:c>
      <x:c r="K49" s="36" t="str">
        <x:v>STM_1334ca3e-f9e3-4db8-9ca7-b4c653be7d17</x:v>
      </x:c>
      <x:c r="L49" s="36" t="str"/>
      <x:c r="M49" s="36" t="str"/>
      <x:c r="N49" s="36" t="str">
        <x:v>事件</x:v>
      </x:c>
      <x:c r="O49" s="36" t="str">
        <x:v>短期</x:v>
      </x:c>
      <x:c r="P49" s="36" t="str">
        <x:v>["libreoffice_calc"]</x:v>
      </x:c>
      <x:c r="Q49" s="36" t="str">
        <x:v>[{"step_id":"S1","app":"libreoffice_calc","action_key":"zoom_out_spreadsheet_view","input_artifacts":["Zoom_Out_Oversized_Cells.xlsx"],"output_artifacts":["Zoom_Out_Oversized_Cells.xlsx"],"depends_on":[]}]</x:v>
      </x:c>
      <x:c r="R49" s="36" t="str">
        <x:v>[]</x:v>
      </x:c>
      <x:c r="S49" s="36" t="str">
        <x:v>zoom_out_spreadsheet_view</x:v>
      </x:c>
      <x:c r="T49" s="36" t="str">
        <x:v>Zoom_Out_Oversized_Cells.xlsx</x:v>
      </x:c>
      <x:c r="U49" s="36" t="str">
        <x:v>retrieve_and_execute</x:v>
      </x:c>
      <x:c r="V49" s="36" t="str">
        <x:v>[{"point_id":"P1","description":"主要处理方式与预期动作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x:v>
      </x:c>
      <x:c r="W49" s="36" t="str">
        <x:v>1.00</x:v>
      </x:c>
      <x:c r="X49" s="39" t="str">
        <x:v>当前表格还是太放大了，接着把显示比例往下调一点。</x:v>
      </x:c>
      <x:c r="Y49" s="39" t="str">
        <x:v>第1条记忆（短期/事件）：用户在 Zoom_Out_Oversized_Cells.xlsx 中因单元格显示过大而难以点击目标单元格，需要适当缩小工作表视图。关键约束：只调整视图缩放；不修改单元格内容或格式。</x:v>
      </x:c>
      <x:c r="Z49" s="39" t="str">
        <x:v>不适用：当前题目不存在需要用户进一步选择的候选记忆。</x:v>
      </x:c>
      <x:c r="AA49" s="39" t="str">
        <x:v>不适用：当前题目没有指定需要排除的冲突或禁止记忆。</x:v>
      </x:c>
      <x:c r="AB49" s="39" t="str">
        <x:v>应执行以下操作：用户在 Zoom_Out_Oversized_Cells.xlsx 中因单元格显示过大而难以点击目标单元格，需要适当缩小工作表视图。</x:v>
      </x:c>
      <x:c r="AC49" s="39" t="str">
        <x:v>第1项实际操作：用户在 Zoom_Out_Oversized_Cells.xlsx 中因单元格显示过大而难以点击目标单元格，需要适当缩小工作表视图。执行时必须满足：只调整视图缩放；不修改单元格内容或格式。</x:v>
      </x:c>
      <x:c r="AD49" s="39" t="str">
        <x:v>用户的完整请求是：“当前表格还是太放大了，接着把显示比例往下调一点。”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x:v>
      </x:c>
      <x:c r="AE4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49" s="50" t="str">
        <x:v>not_pass</x:v>
      </x:c>
      <x:c r="AG49" s="50" t="n">
        <x:v>0</x:v>
      </x:c>
    </x:row>
    <x:row r="50" ht="165" customHeight="1">
      <x:c r="A50" s="35" t="str">
        <x:v>1334ca3e-f9e3-4db8-9ca7-b4c653be7d17_HQ4</x:v>
      </x:c>
      <x:c r="B50" s="36" t="str">
        <x:v>SG_TASK_1334ca3e-f9e3-4db8-9ca7-b4c653be7d17</x:v>
      </x:c>
      <x:c r="C50" s="36" t="str">
        <x:v>1334ca3e-f9e3-4db8-9ca7-b4c653be7d17</x:v>
      </x:c>
      <x:c r="D50" s="36" t="str">
        <x:v>Zoom_Out_Oversized_Cells.xlsx</x:v>
      </x:c>
      <x:c r="E50" s="36" t="str">
        <x:v>single_memory</x:v>
      </x:c>
      <x:c r="F50" s="36" t="str">
        <x:v>low_overlap_paraphrase</x:v>
      </x:c>
      <x:c r="G50" s="36" t="str">
        <x:v>train</x:v>
      </x:c>
      <x:c r="H50" s="36" t="str">
        <x:v>困难</x:v>
      </x:c>
      <x:c r="I50" s="36" t="str">
        <x:v>1334ca3e-f9e3-4db8-9ca7-b4c653be7d17</x:v>
      </x:c>
      <x:c r="J50" s="36" t="str">
        <x:v>CTX_1334ca3e-f9e3-4db8-9ca7-b4c653be7d17</x:v>
      </x:c>
      <x:c r="K50" s="36" t="str">
        <x:v>STM_1334ca3e-f9e3-4db8-9ca7-b4c653be7d17</x:v>
      </x:c>
      <x:c r="L50" s="36" t="str"/>
      <x:c r="M50" s="36" t="str"/>
      <x:c r="N50" s="36" t="str">
        <x:v>事件</x:v>
      </x:c>
      <x:c r="O50" s="36" t="str">
        <x:v>短期</x:v>
      </x:c>
      <x:c r="P50" s="36" t="str">
        <x:v>["libreoffice_calc"]</x:v>
      </x:c>
      <x:c r="Q50" s="36" t="str">
        <x:v>[{"step_id":"S1","app":"libreoffice_calc","action_key":"zoom_out_spreadsheet_view","input_artifacts":["Zoom_Out_Oversized_Cells.xlsx"],"output_artifacts":["Zoom_Out_Oversized_Cells.xlsx"],"depends_on":[]}]</x:v>
      </x:c>
      <x:c r="R50" s="36" t="str">
        <x:v>[]</x:v>
      </x:c>
      <x:c r="S50" s="36" t="str">
        <x:v>zoom_out_spreadsheet_view</x:v>
      </x:c>
      <x:c r="T50" s="36" t="str">
        <x:v>Zoom_Out_Oversized_Cells.xlsx</x:v>
      </x:c>
      <x:c r="U50" s="36" t="str">
        <x:v>retrieve_and_execute</x:v>
      </x:c>
      <x:c r="V50" s="36" t="str">
        <x:v>[{"point_id":"P1","description":"主要处理方式与预期动作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x:v>
      </x:c>
      <x:c r="W50" s="36" t="str">
        <x:v>1.00</x:v>
      </x:c>
      <x:c r="X50" s="39" t="str">
        <x:v>屏幕上一格占得太满，我只想多看到些内容，不是要改行高列宽。</x:v>
      </x:c>
      <x:c r="Y50" s="39" t="str">
        <x:v>第1条记忆（短期/事件）：用户在 Zoom_Out_Oversized_Cells.xlsx 中因单元格显示过大而难以点击目标单元格，需要适当缩小工作表视图。关键约束：只调整视图缩放；不修改单元格内容或格式。</x:v>
      </x:c>
      <x:c r="Z50" s="39" t="str">
        <x:v>不适用：当前题目不存在需要用户进一步选择的候选记忆。</x:v>
      </x:c>
      <x:c r="AA50" s="39" t="str">
        <x:v>不适用：当前题目没有指定需要排除的冲突或禁止记忆。</x:v>
      </x:c>
      <x:c r="AB50" s="39" t="str">
        <x:v>应执行以下操作：用户在 Zoom_Out_Oversized_Cells.xlsx 中因单元格显示过大而难以点击目标单元格，需要适当缩小工作表视图。</x:v>
      </x:c>
      <x:c r="AC50" s="39" t="str">
        <x:v>第1项实际操作：用户在 Zoom_Out_Oversized_Cells.xlsx 中因单元格显示过大而难以点击目标单元格，需要适当缩小工作表视图。执行时必须满足：只调整视图缩放；不修改单元格内容或格式。</x:v>
      </x:c>
      <x:c r="AD50" s="39" t="str">
        <x:v>用户的完整请求是：“屏幕上一格占得太满，我只想多看到些内容，不是要改行高列宽。”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x:v>
      </x:c>
      <x:c r="AE5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0" s="50" t="str">
        <x:v>not_pass</x:v>
      </x:c>
      <x:c r="AG50" s="50" t="n">
        <x:v>0</x:v>
      </x:c>
    </x:row>
    <x:row r="51" ht="165" customHeight="1">
      <x:c r="A51" s="35" t="str">
        <x:v>1334ca3e-f9e3-4db8-9ca7-b4c653be7d17_HQ5</x:v>
      </x:c>
      <x:c r="B51" s="36" t="str">
        <x:v>SG_TASK_1334ca3e-f9e3-4db8-9ca7-b4c653be7d17</x:v>
      </x:c>
      <x:c r="C51" s="36" t="str">
        <x:v>1334ca3e-f9e3-4db8-9ca7-b4c653be7d17</x:v>
      </x:c>
      <x:c r="D51" s="36" t="str">
        <x:v>Zoom_Out_Oversized_Cells.xlsx</x:v>
      </x:c>
      <x:c r="E51" s="36" t="str">
        <x:v>single_memory</x:v>
      </x:c>
      <x:c r="F51" s="36" t="str">
        <x:v>human_constraint_emphasis</x:v>
      </x:c>
      <x:c r="G51" s="36" t="str">
        <x:v>train</x:v>
      </x:c>
      <x:c r="H51" s="36" t="str">
        <x:v>困难</x:v>
      </x:c>
      <x:c r="I51" s="36" t="str">
        <x:v>1334ca3e-f9e3-4db8-9ca7-b4c653be7d17</x:v>
      </x:c>
      <x:c r="J51" s="36" t="str">
        <x:v>CTX_1334ca3e-f9e3-4db8-9ca7-b4c653be7d17</x:v>
      </x:c>
      <x:c r="K51" s="36" t="str">
        <x:v>STM_1334ca3e-f9e3-4db8-9ca7-b4c653be7d17</x:v>
      </x:c>
      <x:c r="L51" s="36" t="str"/>
      <x:c r="M51" s="36" t="str"/>
      <x:c r="N51" s="36" t="str">
        <x:v>事件</x:v>
      </x:c>
      <x:c r="O51" s="36" t="str">
        <x:v>短期</x:v>
      </x:c>
      <x:c r="P51" s="36" t="str">
        <x:v>["libreoffice_calc"]</x:v>
      </x:c>
      <x:c r="Q51" s="36" t="str">
        <x:v>[{"step_id":"S1","app":"libreoffice_calc","action_key":"zoom_out_spreadsheet_view","input_artifacts":["Zoom_Out_Oversized_Cells.xlsx"],"output_artifacts":["Zoom_Out_Oversized_Cells.xlsx"],"depends_on":[]}]</x:v>
      </x:c>
      <x:c r="R51" s="36" t="str">
        <x:v>[]</x:v>
      </x:c>
      <x:c r="S51" s="36" t="str">
        <x:v>zoom_out_spreadsheet_view</x:v>
      </x:c>
      <x:c r="T51" s="36" t="str">
        <x:v>Zoom_Out_Oversized_Cells.xlsx</x:v>
      </x:c>
      <x:c r="U51" s="36" t="str">
        <x:v>retrieve_and_execute</x:v>
      </x:c>
      <x:c r="V51" s="36" t="str">
        <x:v>[{"point_id":"P1","description":"主要处理方式与预期动作 zoom_out_spreadsheet_view 语义一致","weight":0.4,"evidence_memory_ids":["STM_1334ca3e-f9e3-4db8-9ca7-b4c653be7d17"]},{"point_id":"P2","description":"正确定位目标对象 Zoom_Out_Oversized_Cells.xlsx","weight":0.2,"evidence_memory_ids":["STM_1334ca3e-f9e3-4db8-9ca7-b4c653be7d17"]},{"point_id":"P3","description":"满足关键条件：只调整视图缩放；不修改单元格内容或格式","weight":0.3,"evidence_memory_ids":["STM_1334ca3e-f9e3-4db8-9ca7-b4c653be7d17"]},{"point_id":"P4","description":"不增加无记忆证据支持的操作","weight":0.1,"evidence_memory_ids":["STM_1334ca3e-f9e3-4db8-9ca7-b4c653be7d17"]}]</x:v>
      </x:c>
      <x:c r="W51" s="36" t="str">
        <x:v>1.00</x:v>
      </x:c>
      <x:c r="X51" s="39" t="str">
        <x:v>这份表只缩小视图，别调整单元格尺寸，也别改内容。</x:v>
      </x:c>
      <x:c r="Y51" s="39" t="str">
        <x:v>第1条记忆（短期/事件）：用户在 Zoom_Out_Oversized_Cells.xlsx 中因单元格显示过大而难以点击目标单元格，需要适当缩小工作表视图。关键约束：只调整视图缩放；不修改单元格内容或格式。</x:v>
      </x:c>
      <x:c r="Z51" s="39" t="str">
        <x:v>不适用：当前题目不存在需要用户进一步选择的候选记忆。</x:v>
      </x:c>
      <x:c r="AA51" s="39" t="str">
        <x:v>不适用：当前题目没有指定需要排除的冲突或禁止记忆。</x:v>
      </x:c>
      <x:c r="AB51" s="39" t="str">
        <x:v>应执行以下操作：用户在 Zoom_Out_Oversized_Cells.xlsx 中因单元格显示过大而难以点击目标单元格，需要适当缩小工作表视图。</x:v>
      </x:c>
      <x:c r="AC51" s="39" t="str">
        <x:v>第1项实际操作：用户在 Zoom_Out_Oversized_Cells.xlsx 中因单元格显示过大而难以点击目标单元格，需要适当缩小工作表视图。执行时必须满足：只调整视图缩放；不修改单元格内容或格式。</x:v>
      </x:c>
      <x:c r="AD51" s="39" t="str">
        <x:v>用户的完整请求是：“这份表只缩小视图，别调整单元格尺寸，也别改内容。” 第1个当前上下文：Zoom_Out_Oversized_Cells.xlsx 已在 LibreOffice Calc 中打开。 当前请求是在已有办公上下文中继续、复用或重新强调既有处理方式。与该请求唯一对应的完整必需记忆如下：
第1条记忆（短期/事件）：用户在 Zoom_Out_Oversized_Cells.xlsx 中因单元格显示过大而难以点击目标单元格，需要适当缩小工作表视图。关键约束：只调整视图缩放；不修改单元格内容或格式。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中出现的少量词语临时猜测，也不能加入记忆证据没有支持的额外修改。最终应给出的完整结论是：“应执行以下操作：用户在 Zoom_Out_Oversized_Cells.xlsx 中因单元格显示过大而难以点击目标单元格，需要适当缩小工作表视图。”</x:v>
      </x:c>
      <x:c r="AE5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第1条记忆（短期/事件）：用户在 Zoom_Out_Oversized_Cells.xlsx 中因单元格显示过大而难以点击目标单元格，需要适当缩小工作表视图。关键约束：只调整视图缩放；不修改单元格内容或格式。
第2个得分点（0.20分）：正确定位目标对象 Zoom_Out_Oversized_Cells.xlsx。该得分点所依据的完整证据为：
第1条记忆（短期/事件）：用户在 Zoom_Out_Oversized_Cells.xlsx 中因单元格显示过大而难以点击目标单元格，需要适当缩小工作表视图。关键约束：只调整视图缩放；不修改单元格内容或格式。
第3个得分点（0.30分）：满足关键条件：只调整视图缩放；不修改单元格内容或格式。该得分点所依据的完整证据为：
第1条记忆（短期/事件）：用户在 Zoom_Out_Oversized_Cells.xlsx 中因单元格显示过大而难以点击目标单元格，需要适当缩小工作表视图。关键约束：只调整视图缩放；不修改单元格内容或格式。
第4个得分点（0.10分）：不增加无记忆证据支持的操作。该得分点所依据的完整证据为：
第1条记忆（短期/事件）：用户在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1" s="50" t="str">
        <x:v>not_pass</x:v>
      </x:c>
      <x:c r="AG51" s="50" t="n">
        <x:v>0</x:v>
      </x:c>
    </x:row>
    <x:row r="52" ht="165" customHeight="1">
      <x:c r="A52" s="35" t="str">
        <x:v>1954cced-e748-45c4-9c26-9855b97fbc5e_HQ1</x:v>
      </x:c>
      <x:c r="B52" s="36" t="str">
        <x:v>SG_TASK_1954cced-e748-45c4-9c26-9855b97fbc5e</x:v>
      </x:c>
      <x:c r="C52" s="36" t="str">
        <x:v>1954cced-e748-45c4-9c26-9855b97fbc5e</x:v>
      </x:c>
      <x:c r="D52" s="36" t="str">
        <x:v>Invoices.xlsx</x:v>
      </x:c>
      <x:c r="E52" s="36" t="str">
        <x:v>single_memory</x:v>
      </x:c>
      <x:c r="F52" s="36" t="str">
        <x:v>human_context_explicit</x:v>
      </x:c>
      <x:c r="G52" s="36" t="str">
        <x:v>train</x:v>
      </x:c>
      <x:c r="H52" s="36" t="str">
        <x:v>简单</x:v>
      </x:c>
      <x:c r="I52" s="36" t="str">
        <x:v>1954cced-e748-45c4-9c26-9855b97fbc5e</x:v>
      </x:c>
      <x:c r="J52" s="36" t="str">
        <x:v>CTX_1954cced-e748-45c4-9c26-9855b97fbc5e</x:v>
      </x:c>
      <x:c r="K52" s="36" t="str">
        <x:v>MTM_1954cced-e748-45c4-9c26-9855b97fbc5e</x:v>
      </x:c>
      <x:c r="L52" s="36" t="str"/>
      <x:c r="M52" s="36" t="str"/>
      <x:c r="N52" s="36" t="str">
        <x:v>可复用模板</x:v>
      </x:c>
      <x:c r="O52" s="36" t="str">
        <x:v>中期</x:v>
      </x:c>
      <x:c r="P52" s="36" t="str">
        <x:v>["libreoffice_calc"]</x:v>
      </x:c>
      <x:c r="Q52" s="36" t="str">
        <x:v>[{"step_id":"S1","app":"libreoffice_calc","action_key":"create_invoice_count_pivot","input_artifacts":["Invoices.xlsx"],"output_artifacts":["Invoices.xlsx"],"depends_on":[]}]</x:v>
      </x:c>
      <x:c r="R52" s="36" t="str">
        <x:v>[]</x:v>
      </x:c>
      <x:c r="S52" s="36" t="str">
        <x:v>create_invoice_count_pivot</x:v>
      </x:c>
      <x:c r="T52" s="36" t="str">
        <x:v>Invoices.xlsx</x:v>
      </x:c>
      <x:c r="U52" s="36" t="str">
        <x:v>retrieve_and_execute</x:v>
      </x:c>
      <x:c r="V52" s="36" t="str">
        <x:v>[{"point_id":"P1","description":"主要处理方式与预期动作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x:v>
      </x:c>
      <x:c r="W52" s="36" t="str">
        <x:v>1.00</x:v>
      </x:c>
      <x:c r="X52" s="39" t="str">
        <x:v>Invoices.xlsx 里发票号重复情况按之前的透视表方式统计，结果放到 Sheet2。</x:v>
      </x:c>
      <x:c r="Y52" s="39" t="str">
        <x:v>第1条记忆（中期/可复用模板）：在 Invoices.xlsx 新建 Sheet2，通过数据透视表统计每个 Invoice No. 出现的次数。关键约束：使用数据透视表；目标为 Sheet2；按 Invoice No. 分组计数。</x:v>
      </x:c>
      <x:c r="Z52" s="39" t="str">
        <x:v>不适用：当前题目不存在需要用户进一步选择的候选记忆。</x:v>
      </x:c>
      <x:c r="AA52" s="39" t="str">
        <x:v>不适用：当前题目没有指定需要排除的冲突或禁止记忆。</x:v>
      </x:c>
      <x:c r="AB52" s="39" t="str">
        <x:v>应执行以下操作：在 Invoices.xlsx 新建 Sheet2，通过数据透视表统计每个 Invoice No. 出现的次数。</x:v>
      </x:c>
      <x:c r="AC52" s="39" t="str">
        <x:v>第1项实际操作：在 Invoices.xlsx 新建 Sheet2，通过数据透视表统计每个 Invoice No. 出现的次数。执行时必须满足：使用数据透视表；目标为 Sheet2；按 Invoice No. 分组计数。</x:v>
      </x:c>
      <x:c r="AD52" s="39" t="str">
        <x:v>用户的完整请求是：“Invoices.xlsx 里发票号重复情况按之前的透视表方式统计，结果放到 Sheet2。”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x:v>
      </x:c>
      <x:c r="AE5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x:v>
      </x:c>
      <x:c r="AF52" s="50" t="str">
        <x:v>not_pass</x:v>
      </x:c>
      <x:c r="AG52" s="50" t="n">
        <x:v>0</x:v>
      </x:c>
    </x:row>
    <x:row r="53" ht="165" customHeight="1">
      <x:c r="A53" s="35" t="str">
        <x:v>1954cced-e748-45c4-9c26-9855b97fbc5e_HQ2</x:v>
      </x:c>
      <x:c r="B53" s="36" t="str">
        <x:v>SG_TASK_1954cced-e748-45c4-9c26-9855b97fbc5e</x:v>
      </x:c>
      <x:c r="C53" s="36" t="str">
        <x:v>1954cced-e748-45c4-9c26-9855b97fbc5e</x:v>
      </x:c>
      <x:c r="D53" s="36" t="str">
        <x:v>Invoices.xlsx</x:v>
      </x:c>
      <x:c r="E53" s="36" t="str">
        <x:v>single_memory</x:v>
      </x:c>
      <x:c r="F53" s="36" t="str">
        <x:v>human_goal_oriented</x:v>
      </x:c>
      <x:c r="G53" s="36" t="str">
        <x:v>train</x:v>
      </x:c>
      <x:c r="H53" s="36" t="str">
        <x:v>中等</x:v>
      </x:c>
      <x:c r="I53" s="36" t="str">
        <x:v>1954cced-e748-45c4-9c26-9855b97fbc5e</x:v>
      </x:c>
      <x:c r="J53" s="36" t="str">
        <x:v>CTX_1954cced-e748-45c4-9c26-9855b97fbc5e</x:v>
      </x:c>
      <x:c r="K53" s="36" t="str">
        <x:v>MTM_1954cced-e748-45c4-9c26-9855b97fbc5e</x:v>
      </x:c>
      <x:c r="L53" s="36" t="str"/>
      <x:c r="M53" s="36" t="str"/>
      <x:c r="N53" s="36" t="str">
        <x:v>可复用模板</x:v>
      </x:c>
      <x:c r="O53" s="36" t="str">
        <x:v>中期</x:v>
      </x:c>
      <x:c r="P53" s="36" t="str">
        <x:v>["libreoffice_calc"]</x:v>
      </x:c>
      <x:c r="Q53" s="36" t="str">
        <x:v>[{"step_id":"S1","app":"libreoffice_calc","action_key":"create_invoice_count_pivot","input_artifacts":["Invoices.xlsx"],"output_artifacts":["Invoices.xlsx"],"depends_on":[]}]</x:v>
      </x:c>
      <x:c r="R53" s="36" t="str">
        <x:v>[]</x:v>
      </x:c>
      <x:c r="S53" s="36" t="str">
        <x:v>create_invoice_count_pivot</x:v>
      </x:c>
      <x:c r="T53" s="36" t="str">
        <x:v>Invoices.xlsx</x:v>
      </x:c>
      <x:c r="U53" s="36" t="str">
        <x:v>retrieve_and_execute</x:v>
      </x:c>
      <x:c r="V53" s="36" t="str">
        <x:v>[{"point_id":"P1","description":"主要处理方式与预期动作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x:v>
      </x:c>
      <x:c r="W53" s="36" t="str">
        <x:v>1.00</x:v>
      </x:c>
      <x:c r="X53" s="39" t="str">
        <x:v>我想知道每个 Invoice No. 分别出现了几次，帮我做一张计数透视表。</x:v>
      </x:c>
      <x:c r="Y53" s="39" t="str">
        <x:v>第1条记忆（中期/可复用模板）：在 Invoices.xlsx 新建 Sheet2，通过数据透视表统计每个 Invoice No. 出现的次数。关键约束：使用数据透视表；目标为 Sheet2；按 Invoice No. 分组计数。</x:v>
      </x:c>
      <x:c r="Z53" s="39" t="str">
        <x:v>不适用：当前题目不存在需要用户进一步选择的候选记忆。</x:v>
      </x:c>
      <x:c r="AA53" s="39" t="str">
        <x:v>不适用：当前题目没有指定需要排除的冲突或禁止记忆。</x:v>
      </x:c>
      <x:c r="AB53" s="39" t="str">
        <x:v>应执行以下操作：在 Invoices.xlsx 新建 Sheet2，通过数据透视表统计每个 Invoice No. 出现的次数。</x:v>
      </x:c>
      <x:c r="AC53" s="39" t="str">
        <x:v>第1项实际操作：在 Invoices.xlsx 新建 Sheet2，通过数据透视表统计每个 Invoice No. 出现的次数。执行时必须满足：使用数据透视表；目标为 Sheet2；按 Invoice No. 分组计数。</x:v>
      </x:c>
      <x:c r="AD53" s="39" t="str">
        <x:v>用户的完整请求是：“我想知道每个 Invoice No. 分别出现了几次，帮我做一张计数透视表。”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x:v>
      </x:c>
      <x:c r="AE5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x:v>
      </x:c>
      <x:c r="AF53" s="50" t="str">
        <x:v>not_pass</x:v>
      </x:c>
      <x:c r="AG53" s="50" t="n">
        <x:v>0</x:v>
      </x:c>
    </x:row>
    <x:row r="54" ht="165" customHeight="1">
      <x:c r="A54" s="35" t="str">
        <x:v>1954cced-e748-45c4-9c26-9855b97fbc5e_HQ3</x:v>
      </x:c>
      <x:c r="B54" s="36" t="str">
        <x:v>SG_TASK_1954cced-e748-45c4-9c26-9855b97fbc5e</x:v>
      </x:c>
      <x:c r="C54" s="36" t="str">
        <x:v>1954cced-e748-45c4-9c26-9855b97fbc5e</x:v>
      </x:c>
      <x:c r="D54" s="36" t="str">
        <x:v>Invoices.xlsx</x:v>
      </x:c>
      <x:c r="E54" s="36" t="str">
        <x:v>single_memory</x:v>
      </x:c>
      <x:c r="F54" s="36" t="str">
        <x:v>contextual_ellipsis</x:v>
      </x:c>
      <x:c r="G54" s="36" t="str">
        <x:v>train</x:v>
      </x:c>
      <x:c r="H54" s="36" t="str">
        <x:v>中等</x:v>
      </x:c>
      <x:c r="I54" s="36" t="str">
        <x:v>1954cced-e748-45c4-9c26-9855b97fbc5e</x:v>
      </x:c>
      <x:c r="J54" s="36" t="str">
        <x:v>CTX_1954cced-e748-45c4-9c26-9855b97fbc5e</x:v>
      </x:c>
      <x:c r="K54" s="36" t="str">
        <x:v>MTM_1954cced-e748-45c4-9c26-9855b97fbc5e</x:v>
      </x:c>
      <x:c r="L54" s="36" t="str"/>
      <x:c r="M54" s="36" t="str"/>
      <x:c r="N54" s="36" t="str">
        <x:v>可复用模板</x:v>
      </x:c>
      <x:c r="O54" s="36" t="str">
        <x:v>中期</x:v>
      </x:c>
      <x:c r="P54" s="36" t="str">
        <x:v>["libreoffice_calc"]</x:v>
      </x:c>
      <x:c r="Q54" s="36" t="str">
        <x:v>[{"step_id":"S1","app":"libreoffice_calc","action_key":"create_invoice_count_pivot","input_artifacts":["Invoices.xlsx"],"output_artifacts":["Invoices.xlsx"],"depends_on":[]}]</x:v>
      </x:c>
      <x:c r="R54" s="36" t="str">
        <x:v>[]</x:v>
      </x:c>
      <x:c r="S54" s="36" t="str">
        <x:v>create_invoice_count_pivot</x:v>
      </x:c>
      <x:c r="T54" s="36" t="str">
        <x:v>Invoices.xlsx</x:v>
      </x:c>
      <x:c r="U54" s="36" t="str">
        <x:v>retrieve_and_execute</x:v>
      </x:c>
      <x:c r="V54" s="36" t="str">
        <x:v>[{"point_id":"P1","description":"主要处理方式与预期动作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x:v>
      </x:c>
      <x:c r="W54" s="36" t="str">
        <x:v>1.00</x:v>
      </x:c>
      <x:c r="X54" s="39" t="str">
        <x:v>当前发票表继续做编号频次汇总，新建第二张表就行。</x:v>
      </x:c>
      <x:c r="Y54" s="39" t="str">
        <x:v>第1条记忆（中期/可复用模板）：在 Invoices.xlsx 新建 Sheet2，通过数据透视表统计每个 Invoice No. 出现的次数。关键约束：使用数据透视表；目标为 Sheet2；按 Invoice No. 分组计数。</x:v>
      </x:c>
      <x:c r="Z54" s="39" t="str">
        <x:v>不适用：当前题目不存在需要用户进一步选择的候选记忆。</x:v>
      </x:c>
      <x:c r="AA54" s="39" t="str">
        <x:v>不适用：当前题目没有指定需要排除的冲突或禁止记忆。</x:v>
      </x:c>
      <x:c r="AB54" s="39" t="str">
        <x:v>应执行以下操作：在 Invoices.xlsx 新建 Sheet2，通过数据透视表统计每个 Invoice No. 出现的次数。</x:v>
      </x:c>
      <x:c r="AC54" s="39" t="str">
        <x:v>第1项实际操作：在 Invoices.xlsx 新建 Sheet2，通过数据透视表统计每个 Invoice No. 出现的次数。执行时必须满足：使用数据透视表；目标为 Sheet2；按 Invoice No. 分组计数。</x:v>
      </x:c>
      <x:c r="AD54" s="39" t="str">
        <x:v>用户的完整请求是：“当前发票表继续做编号频次汇总，新建第二张表就行。”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x:v>
      </x:c>
      <x:c r="AE5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x:v>
      </x:c>
      <x:c r="AF54" s="50" t="str">
        <x:v>not_pass</x:v>
      </x:c>
      <x:c r="AG54" s="50" t="n">
        <x:v>0</x:v>
      </x:c>
    </x:row>
    <x:row r="55" ht="165" customHeight="1">
      <x:c r="A55" s="35" t="str">
        <x:v>1954cced-e748-45c4-9c26-9855b97fbc5e_HQ4</x:v>
      </x:c>
      <x:c r="B55" s="36" t="str">
        <x:v>SG_TASK_1954cced-e748-45c4-9c26-9855b97fbc5e</x:v>
      </x:c>
      <x:c r="C55" s="36" t="str">
        <x:v>1954cced-e748-45c4-9c26-9855b97fbc5e</x:v>
      </x:c>
      <x:c r="D55" s="36" t="str">
        <x:v>Invoices.xlsx</x:v>
      </x:c>
      <x:c r="E55" s="36" t="str">
        <x:v>single_memory</x:v>
      </x:c>
      <x:c r="F55" s="36" t="str">
        <x:v>low_overlap_paraphrase</x:v>
      </x:c>
      <x:c r="G55" s="36" t="str">
        <x:v>train</x:v>
      </x:c>
      <x:c r="H55" s="36" t="str">
        <x:v>困难</x:v>
      </x:c>
      <x:c r="I55" s="36" t="str">
        <x:v>1954cced-e748-45c4-9c26-9855b97fbc5e</x:v>
      </x:c>
      <x:c r="J55" s="36" t="str">
        <x:v>CTX_1954cced-e748-45c4-9c26-9855b97fbc5e</x:v>
      </x:c>
      <x:c r="K55" s="36" t="str">
        <x:v>MTM_1954cced-e748-45c4-9c26-9855b97fbc5e</x:v>
      </x:c>
      <x:c r="L55" s="36" t="str"/>
      <x:c r="M55" s="36" t="str"/>
      <x:c r="N55" s="36" t="str">
        <x:v>可复用模板</x:v>
      </x:c>
      <x:c r="O55" s="36" t="str">
        <x:v>中期</x:v>
      </x:c>
      <x:c r="P55" s="36" t="str">
        <x:v>["libreoffice_calc"]</x:v>
      </x:c>
      <x:c r="Q55" s="36" t="str">
        <x:v>[{"step_id":"S1","app":"libreoffice_calc","action_key":"create_invoice_count_pivot","input_artifacts":["Invoices.xlsx"],"output_artifacts":["Invoices.xlsx"],"depends_on":[]}]</x:v>
      </x:c>
      <x:c r="R55" s="36" t="str">
        <x:v>[]</x:v>
      </x:c>
      <x:c r="S55" s="36" t="str">
        <x:v>create_invoice_count_pivot</x:v>
      </x:c>
      <x:c r="T55" s="36" t="str">
        <x:v>Invoices.xlsx</x:v>
      </x:c>
      <x:c r="U55" s="36" t="str">
        <x:v>retrieve_and_execute</x:v>
      </x:c>
      <x:c r="V55" s="36" t="str">
        <x:v>[{"point_id":"P1","description":"主要处理方式与预期动作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x:v>
      </x:c>
      <x:c r="W55" s="36" t="str">
        <x:v>1.00</x:v>
      </x:c>
      <x:c r="X55" s="39" t="str">
        <x:v>为了查重复发票，不用逐行筛，按编号聚合后把次数列出来。</x:v>
      </x:c>
      <x:c r="Y55" s="39" t="str">
        <x:v>第1条记忆（中期/可复用模板）：在 Invoices.xlsx 新建 Sheet2，通过数据透视表统计每个 Invoice No. 出现的次数。关键约束：使用数据透视表；目标为 Sheet2；按 Invoice No. 分组计数。</x:v>
      </x:c>
      <x:c r="Z55" s="39" t="str">
        <x:v>不适用：当前题目不存在需要用户进一步选择的候选记忆。</x:v>
      </x:c>
      <x:c r="AA55" s="39" t="str">
        <x:v>不适用：当前题目没有指定需要排除的冲突或禁止记忆。</x:v>
      </x:c>
      <x:c r="AB55" s="39" t="str">
        <x:v>应执行以下操作：在 Invoices.xlsx 新建 Sheet2，通过数据透视表统计每个 Invoice No. 出现的次数。</x:v>
      </x:c>
      <x:c r="AC55" s="39" t="str">
        <x:v>第1项实际操作：在 Invoices.xlsx 新建 Sheet2，通过数据透视表统计每个 Invoice No. 出现的次数。执行时必须满足：使用数据透视表；目标为 Sheet2；按 Invoice No. 分组计数。</x:v>
      </x:c>
      <x:c r="AD55" s="39" t="str">
        <x:v>用户的完整请求是：“为了查重复发票，不用逐行筛，按编号聚合后把次数列出来。”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x:v>
      </x:c>
      <x:c r="AE5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x:v>
      </x:c>
      <x:c r="AF55" s="50" t="str">
        <x:v>not_pass</x:v>
      </x:c>
      <x:c r="AG55" s="50" t="n">
        <x:v>0</x:v>
      </x:c>
    </x:row>
    <x:row r="56" ht="165" customHeight="1">
      <x:c r="A56" s="35" t="str">
        <x:v>1954cced-e748-45c4-9c26-9855b97fbc5e_HQ5</x:v>
      </x:c>
      <x:c r="B56" s="36" t="str">
        <x:v>SG_TASK_1954cced-e748-45c4-9c26-9855b97fbc5e</x:v>
      </x:c>
      <x:c r="C56" s="36" t="str">
        <x:v>1954cced-e748-45c4-9c26-9855b97fbc5e</x:v>
      </x:c>
      <x:c r="D56" s="36" t="str">
        <x:v>Invoices.xlsx</x:v>
      </x:c>
      <x:c r="E56" s="36" t="str">
        <x:v>single_memory</x:v>
      </x:c>
      <x:c r="F56" s="36" t="str">
        <x:v>human_constraint_emphasis</x:v>
      </x:c>
      <x:c r="G56" s="36" t="str">
        <x:v>train</x:v>
      </x:c>
      <x:c r="H56" s="36" t="str">
        <x:v>困难</x:v>
      </x:c>
      <x:c r="I56" s="36" t="str">
        <x:v>1954cced-e748-45c4-9c26-9855b97fbc5e</x:v>
      </x:c>
      <x:c r="J56" s="36" t="str">
        <x:v>CTX_1954cced-e748-45c4-9c26-9855b97fbc5e</x:v>
      </x:c>
      <x:c r="K56" s="36" t="str">
        <x:v>MTM_1954cced-e748-45c4-9c26-9855b97fbc5e</x:v>
      </x:c>
      <x:c r="L56" s="36" t="str"/>
      <x:c r="M56" s="36" t="str"/>
      <x:c r="N56" s="36" t="str">
        <x:v>可复用模板</x:v>
      </x:c>
      <x:c r="O56" s="36" t="str">
        <x:v>中期</x:v>
      </x:c>
      <x:c r="P56" s="36" t="str">
        <x:v>["libreoffice_calc"]</x:v>
      </x:c>
      <x:c r="Q56" s="36" t="str">
        <x:v>[{"step_id":"S1","app":"libreoffice_calc","action_key":"create_invoice_count_pivot","input_artifacts":["Invoices.xlsx"],"output_artifacts":["Invoices.xlsx"],"depends_on":[]}]</x:v>
      </x:c>
      <x:c r="R56" s="36" t="str">
        <x:v>[]</x:v>
      </x:c>
      <x:c r="S56" s="36" t="str">
        <x:v>create_invoice_count_pivot</x:v>
      </x:c>
      <x:c r="T56" s="36" t="str">
        <x:v>Invoices.xlsx</x:v>
      </x:c>
      <x:c r="U56" s="36" t="str">
        <x:v>retrieve_and_execute</x:v>
      </x:c>
      <x:c r="V56" s="36" t="str">
        <x:v>[{"point_id":"P1","description":"主要处理方式与预期动作 create_invoice_count_pivot 语义一致","weight":0.4,"evidence_memory_ids":["MTM_1954cced-e748-45c4-9c26-9855b97fbc5e"]},{"point_id":"P2","description":"正确定位目标对象 Invoices.xlsx","weight":0.2,"evidence_memory_ids":["MTM_1954cced-e748-45c4-9c26-9855b97fbc5e"]},{"point_id":"P3","description":"满足关键条件：使用数据透视表；目标为 Sheet2；按 Invoice No. 分组计数","weight":0.3,"evidence_memory_ids":["MTM_1954cced-e748-45c4-9c26-9855b97fbc5e"]},{"point_id":"P4","description":"不增加无记忆证据支持的操作","weight":0.1,"evidence_memory_ids":["MTM_1954cced-e748-45c4-9c26-9855b97fbc5e"]}]</x:v>
      </x:c>
      <x:c r="W56" s="36" t="str">
        <x:v>1.00</x:v>
      </x:c>
      <x:c r="X56" s="39" t="str">
        <x:v>Invoices 还是按 Invoice No. 做 count 的 Pivot Table，放 Sheet2。</x:v>
      </x:c>
      <x:c r="Y56" s="39" t="str">
        <x:v>第1条记忆（中期/可复用模板）：在 Invoices.xlsx 新建 Sheet2，通过数据透视表统计每个 Invoice No. 出现的次数。关键约束：使用数据透视表；目标为 Sheet2；按 Invoice No. 分组计数。</x:v>
      </x:c>
      <x:c r="Z56" s="39" t="str">
        <x:v>不适用：当前题目不存在需要用户进一步选择的候选记忆。</x:v>
      </x:c>
      <x:c r="AA56" s="39" t="str">
        <x:v>不适用：当前题目没有指定需要排除的冲突或禁止记忆。</x:v>
      </x:c>
      <x:c r="AB56" s="39" t="str">
        <x:v>应执行以下操作：在 Invoices.xlsx 新建 Sheet2，通过数据透视表统计每个 Invoice No. 出现的次数。</x:v>
      </x:c>
      <x:c r="AC56" s="39" t="str">
        <x:v>第1项实际操作：在 Invoices.xlsx 新建 Sheet2，通过数据透视表统计每个 Invoice No. 出现的次数。执行时必须满足：使用数据透视表；目标为 Sheet2；按 Invoice No. 分组计数。</x:v>
      </x:c>
      <x:c r="AD56" s="39" t="str">
        <x:v>用户的完整请求是：“Invoices 还是按 Invoice No. 做 count 的 Pivot Table，放 Sheet2。” 第1个当前上下文：Invoices.xlsx 已在 LibreOffice Calc 中打开。 当前请求是在已有办公上下文中继续、复用或重新强调既有处理方式。与该请求唯一对应的完整必需记忆如下：
第1条记忆（中期/可复用模板）：在 Invoices.xlsx 新建 Sheet2，通过数据透视表统计每个 Invoice No. 出现的次数。关键约束：使用数据透视表；目标为 Sheet2；按 Invoice No. 分组计数。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Invoices.xlsx 新建 Sheet2，通过数据透视表统计每个 Invoice No. 出现的次数。”</x:v>
      </x:c>
      <x:c r="AE5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Invoices.xlsx 新建 Sheet2，通过数据透视表统计每个 Invoice No. 出现的次数。关键约束：使用数据透视表；目标为 Sheet2；按 Invoice No. 分组计数。
第2个得分点（0.20分）：正确定位目标对象 Invoices.xlsx。该得分点所依据的完整证据为：
第1条记忆（中期/可复用模板）：在 Invoices.xlsx 新建 Sheet2，通过数据透视表统计每个 Invoice No. 出现的次数。关键约束：使用数据透视表；目标为 Sheet2；按 Invoice No. 分组计数。
第3个得分点（0.30分）：满足关键条件：使用数据透视表；目标为 Sheet2；按 Invoice No. 分组计数。该得分点所依据的完整证据为：
第1条记忆（中期/可复用模板）：在 Invoices.xlsx 新建 Sheet2，通过数据透视表统计每个 Invoice No. 出现的次数。关键约束：使用数据透视表；目标为 Sheet2；按 Invoice No. 分组计数。
第4个得分点（0.10分）：不增加无记忆证据支持的操作。该得分点所依据的完整证据为：
第1条记忆（中期/可复用模板）：在 Invoices.xlsx 新建 Sheet2，通过数据透视表统计每个 Invoice No. 出现的次数。关键约束：使用数据透视表；目标为 Sheet2；按 Invoice No. 分组计数。
人工复审时，应依据模型最终给出的信息和实际操作是否满足上述每个得分点分别给分；只命中记忆 ID 但没有形成对应结论不能获得该结论分，形成了正确结论但表达方式不同则不应扣分。</x:v>
      </x:c>
      <x:c r="AF56" s="50" t="str">
        <x:v>not_pass</x:v>
      </x:c>
      <x:c r="AG56" s="50" t="n">
        <x:v>0</x:v>
      </x:c>
    </x:row>
    <x:row r="57" ht="189" customHeight="1">
      <x:c r="A57" s="35" t="str">
        <x:v>1d17d234-e39d-4ed7-b46f-4417922a4e7c_HQ1</x:v>
      </x:c>
      <x:c r="B57" s="36" t="str">
        <x:v>SG_TASK_1d17d234-e39d-4ed7-b46f-4417922a4e7c</x:v>
      </x:c>
      <x:c r="C57" s="36" t="str">
        <x:v>1d17d234-e39d-4ed7-b46f-4417922a4e7c</x:v>
      </x:c>
      <x:c r="D57" s="36" t="str">
        <x:v>FutureValue.xlsx</x:v>
      </x:c>
      <x:c r="E57" s="36" t="str">
        <x:v>single_memory</x:v>
      </x:c>
      <x:c r="F57" s="36" t="str">
        <x:v>human_context_explicit</x:v>
      </x:c>
      <x:c r="G57" s="36" t="str">
        <x:v>test</x:v>
      </x:c>
      <x:c r="H57" s="36" t="str">
        <x:v>简单</x:v>
      </x:c>
      <x:c r="I57" s="36" t="str">
        <x:v>1d17d234-e39d-4ed7-b46f-4417922a4e7c</x:v>
      </x:c>
      <x:c r="J57" s="36" t="str">
        <x:v>CTX_1d17d234-e39d-4ed7-b46f-4417922a4e7c</x:v>
      </x:c>
      <x:c r="K57" s="36" t="str">
        <x:v>LTM_1d17d234-e39d-4ed7-b46f-4417922a4e7c</x:v>
      </x:c>
      <x:c r="L57" s="36" t="str"/>
      <x:c r="M57" s="36" t="str"/>
      <x:c r="N57" s="36" t="str">
        <x:v>可复用模板</x:v>
      </x:c>
      <x:c r="O57" s="36" t="str">
        <x:v>长期</x:v>
      </x:c>
      <x:c r="P57" s="36" t="str">
        <x:v>["libreoffice_calc"]</x:v>
      </x:c>
      <x:c r="Q57" s="36" t="str">
        <x:v>[{"step_id":"S1","app":"libreoffice_calc","action_key":"build_investment_summary_header_layout","input_artifacts":["FutureValue.xlsx"],"output_artifacts":["FutureValue.xlsx"],"depends_on":[]}]</x:v>
      </x:c>
      <x:c r="R57" s="36" t="str">
        <x:v>[]</x:v>
      </x:c>
      <x:c r="S57" s="36" t="str">
        <x:v>build_investment_summary_header_layout</x:v>
      </x:c>
      <x:c r="T57" s="36" t="str">
        <x:v>FutureValue.xlsx</x:v>
      </x:c>
      <x:c r="U57" s="36" t="str">
        <x:v>retrieve_and_execute</x:v>
      </x:c>
      <x:c r="V57" s="36" t="str">
        <x:v>[{"point_id":"P1","description":"主要处理方式与预期动作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x:v>
      </x:c>
      <x:c r="W57" s="36" t="str">
        <x:v>1.00</x:v>
      </x:c>
      <x:c r="X57" s="39" t="str">
        <x:v>FutureValue.xlsx 的投资摘要页按上次那套合并标题布局建在 Sheet2。</x:v>
      </x:c>
      <x:c r="Y57" s="39" t="str">
        <x:v>第1条记忆（长期/可复用模板）：在 FutureValue.xlsx 新建 Sheet2，合并 A1:C1 写入 Investment Summary；合并 A2:B2 写入 High Interest Rate；合并 C2:D2 写入 Low Interest Rate。关键约束：必须使用指定合并范围和英文标题；所有内容位于新建 Sheet2。</x:v>
      </x:c>
      <x:c r="Z57" s="39" t="str">
        <x:v>不适用：当前题目不存在需要用户进一步选择的候选记忆。</x:v>
      </x:c>
      <x:c r="AA57" s="39" t="str">
        <x:v>不适用：当前题目没有指定需要排除的冲突或禁止记忆。</x:v>
      </x:c>
      <x:c r="AB57" s="39" t="str">
        <x:v>应执行以下操作：在 FutureValue.xlsx 新建 Sheet2，合并 A1:C1 写入 Investment Summary；合并 A2:B2 写入 High Interest Rate；合并 C2:D2 写入 Low Interest Rate。</x:v>
      </x:c>
      <x:c r="AC57" s="39" t="str">
        <x:v>第1项实际操作：在 FutureValue.xlsx 新建 Sheet2，合并 A1:C1 写入 Investment Summary；合并 A2:B2 写入 High Interest Rate；合并 C2:D2 写入 Low Interest Rate。执行时必须满足：必须使用指定合并范围和英文标题；所有内容位于新建 Sheet2。</x:v>
      </x:c>
      <x:c r="AD57" s="39" t="str">
        <x:v>用户的完整请求是：“FutureValue.xlsx 的投资摘要页按上次那套合并标题布局建在 Sheet2。”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x:v>
      </x:c>
      <x:c r="AE5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7" s="50" t="str">
        <x:v>not_pass</x:v>
      </x:c>
      <x:c r="AG57" s="50" t="n">
        <x:v>0</x:v>
      </x:c>
    </x:row>
    <x:row r="58" ht="189" customHeight="1">
      <x:c r="A58" s="35" t="str">
        <x:v>1d17d234-e39d-4ed7-b46f-4417922a4e7c_HQ2</x:v>
      </x:c>
      <x:c r="B58" s="36" t="str">
        <x:v>SG_TASK_1d17d234-e39d-4ed7-b46f-4417922a4e7c</x:v>
      </x:c>
      <x:c r="C58" s="36" t="str">
        <x:v>1d17d234-e39d-4ed7-b46f-4417922a4e7c</x:v>
      </x:c>
      <x:c r="D58" s="36" t="str">
        <x:v>FutureValue.xlsx</x:v>
      </x:c>
      <x:c r="E58" s="36" t="str">
        <x:v>single_memory</x:v>
      </x:c>
      <x:c r="F58" s="36" t="str">
        <x:v>human_goal_oriented</x:v>
      </x:c>
      <x:c r="G58" s="36" t="str">
        <x:v>test</x:v>
      </x:c>
      <x:c r="H58" s="36" t="str">
        <x:v>中等</x:v>
      </x:c>
      <x:c r="I58" s="36" t="str">
        <x:v>1d17d234-e39d-4ed7-b46f-4417922a4e7c</x:v>
      </x:c>
      <x:c r="J58" s="36" t="str">
        <x:v>CTX_1d17d234-e39d-4ed7-b46f-4417922a4e7c</x:v>
      </x:c>
      <x:c r="K58" s="36" t="str">
        <x:v>LTM_1d17d234-e39d-4ed7-b46f-4417922a4e7c</x:v>
      </x:c>
      <x:c r="L58" s="36" t="str"/>
      <x:c r="M58" s="36" t="str"/>
      <x:c r="N58" s="36" t="str">
        <x:v>可复用模板</x:v>
      </x:c>
      <x:c r="O58" s="36" t="str">
        <x:v>长期</x:v>
      </x:c>
      <x:c r="P58" s="36" t="str">
        <x:v>["libreoffice_calc"]</x:v>
      </x:c>
      <x:c r="Q58" s="36" t="str">
        <x:v>[{"step_id":"S1","app":"libreoffice_calc","action_key":"build_investment_summary_header_layout","input_artifacts":["FutureValue.xlsx"],"output_artifacts":["FutureValue.xlsx"],"depends_on":[]}]</x:v>
      </x:c>
      <x:c r="R58" s="36" t="str">
        <x:v>[]</x:v>
      </x:c>
      <x:c r="S58" s="36" t="str">
        <x:v>build_investment_summary_header_layout</x:v>
      </x:c>
      <x:c r="T58" s="36" t="str">
        <x:v>FutureValue.xlsx</x:v>
      </x:c>
      <x:c r="U58" s="36" t="str">
        <x:v>retrieve_and_execute</x:v>
      </x:c>
      <x:c r="V58" s="36" t="str">
        <x:v>[{"point_id":"P1","description":"主要处理方式与预期动作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x:v>
      </x:c>
      <x:c r="W58" s="36" t="str">
        <x:v>1.00</x:v>
      </x:c>
      <x:c r="X58" s="39" t="str">
        <x:v>我需要一张新的利率对比页，顶端放 Investment Summary，下面分高利率和低利率两个合并标题。</x:v>
      </x:c>
      <x:c r="Y58" s="39" t="str">
        <x:v>第1条记忆（长期/可复用模板）：在 FutureValue.xlsx 新建 Sheet2，合并 A1:C1 写入 Investment Summary；合并 A2:B2 写入 High Interest Rate；合并 C2:D2 写入 Low Interest Rate。关键约束：必须使用指定合并范围和英文标题；所有内容位于新建 Sheet2。</x:v>
      </x:c>
      <x:c r="Z58" s="39" t="str">
        <x:v>不适用：当前题目不存在需要用户进一步选择的候选记忆。</x:v>
      </x:c>
      <x:c r="AA58" s="39" t="str">
        <x:v>不适用：当前题目没有指定需要排除的冲突或禁止记忆。</x:v>
      </x:c>
      <x:c r="AB58" s="39" t="str">
        <x:v>应执行以下操作：在 FutureValue.xlsx 新建 Sheet2，合并 A1:C1 写入 Investment Summary；合并 A2:B2 写入 High Interest Rate；合并 C2:D2 写入 Low Interest Rate。</x:v>
      </x:c>
      <x:c r="AC58" s="39" t="str">
        <x:v>第1项实际操作：在 FutureValue.xlsx 新建 Sheet2，合并 A1:C1 写入 Investment Summary；合并 A2:B2 写入 High Interest Rate；合并 C2:D2 写入 Low Interest Rate。执行时必须满足：必须使用指定合并范围和英文标题；所有内容位于新建 Sheet2。</x:v>
      </x:c>
      <x:c r="AD58" s="39" t="str">
        <x:v>用户的完整请求是：“我需要一张新的利率对比页，顶端放 Investment Summary，下面分高利率和低利率两个合并标题。”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x:v>
      </x:c>
      <x:c r="AE5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8" s="50" t="str">
        <x:v>not_pass</x:v>
      </x:c>
      <x:c r="AG58" s="50" t="n">
        <x:v>0</x:v>
      </x:c>
    </x:row>
    <x:row r="59" ht="189" customHeight="1">
      <x:c r="A59" s="35" t="str">
        <x:v>1d17d234-e39d-4ed7-b46f-4417922a4e7c_HQ3</x:v>
      </x:c>
      <x:c r="B59" s="36" t="str">
        <x:v>SG_TASK_1d17d234-e39d-4ed7-b46f-4417922a4e7c</x:v>
      </x:c>
      <x:c r="C59" s="36" t="str">
        <x:v>1d17d234-e39d-4ed7-b46f-4417922a4e7c</x:v>
      </x:c>
      <x:c r="D59" s="36" t="str">
        <x:v>FutureValue.xlsx</x:v>
      </x:c>
      <x:c r="E59" s="36" t="str">
        <x:v>single_memory</x:v>
      </x:c>
      <x:c r="F59" s="36" t="str">
        <x:v>contextual_ellipsis</x:v>
      </x:c>
      <x:c r="G59" s="36" t="str">
        <x:v>test</x:v>
      </x:c>
      <x:c r="H59" s="36" t="str">
        <x:v>中等</x:v>
      </x:c>
      <x:c r="I59" s="36" t="str">
        <x:v>1d17d234-e39d-4ed7-b46f-4417922a4e7c</x:v>
      </x:c>
      <x:c r="J59" s="36" t="str">
        <x:v>CTX_1d17d234-e39d-4ed7-b46f-4417922a4e7c</x:v>
      </x:c>
      <x:c r="K59" s="36" t="str">
        <x:v>LTM_1d17d234-e39d-4ed7-b46f-4417922a4e7c</x:v>
      </x:c>
      <x:c r="L59" s="36" t="str"/>
      <x:c r="M59" s="36" t="str"/>
      <x:c r="N59" s="36" t="str">
        <x:v>可复用模板</x:v>
      </x:c>
      <x:c r="O59" s="36" t="str">
        <x:v>长期</x:v>
      </x:c>
      <x:c r="P59" s="36" t="str">
        <x:v>["libreoffice_calc"]</x:v>
      </x:c>
      <x:c r="Q59" s="36" t="str">
        <x:v>[{"step_id":"S1","app":"libreoffice_calc","action_key":"build_investment_summary_header_layout","input_artifacts":["FutureValue.xlsx"],"output_artifacts":["FutureValue.xlsx"],"depends_on":[]}]</x:v>
      </x:c>
      <x:c r="R59" s="36" t="str">
        <x:v>[]</x:v>
      </x:c>
      <x:c r="S59" s="36" t="str">
        <x:v>build_investment_summary_header_layout</x:v>
      </x:c>
      <x:c r="T59" s="36" t="str">
        <x:v>FutureValue.xlsx</x:v>
      </x:c>
      <x:c r="U59" s="36" t="str">
        <x:v>retrieve_and_execute</x:v>
      </x:c>
      <x:c r="V59" s="36" t="str">
        <x:v>[{"point_id":"P1","description":"主要处理方式与预期动作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x:v>
      </x:c>
      <x:c r="W59" s="36" t="str">
        <x:v>1.00</x:v>
      </x:c>
      <x:c r="X59" s="39" t="str">
        <x:v>当前未来价值表继续搭第二张表的表头，A1 到 D2 那块按之前的结构处理。</x:v>
      </x:c>
      <x:c r="Y59" s="39" t="str">
        <x:v>第1条记忆（长期/可复用模板）：在 FutureValue.xlsx 新建 Sheet2，合并 A1:C1 写入 Investment Summary；合并 A2:B2 写入 High Interest Rate；合并 C2:D2 写入 Low Interest Rate。关键约束：必须使用指定合并范围和英文标题；所有内容位于新建 Sheet2。</x:v>
      </x:c>
      <x:c r="Z59" s="39" t="str">
        <x:v>不适用：当前题目不存在需要用户进一步选择的候选记忆。</x:v>
      </x:c>
      <x:c r="AA59" s="39" t="str">
        <x:v>不适用：当前题目没有指定需要排除的冲突或禁止记忆。</x:v>
      </x:c>
      <x:c r="AB59" s="39" t="str">
        <x:v>应执行以下操作：在 FutureValue.xlsx 新建 Sheet2，合并 A1:C1 写入 Investment Summary；合并 A2:B2 写入 High Interest Rate；合并 C2:D2 写入 Low Interest Rate。</x:v>
      </x:c>
      <x:c r="AC59" s="39" t="str">
        <x:v>第1项实际操作：在 FutureValue.xlsx 新建 Sheet2，合并 A1:C1 写入 Investment Summary；合并 A2:B2 写入 High Interest Rate；合并 C2:D2 写入 Low Interest Rate。执行时必须满足：必须使用指定合并范围和英文标题；所有内容位于新建 Sheet2。</x:v>
      </x:c>
      <x:c r="AD59" s="39" t="str">
        <x:v>用户的完整请求是：“当前未来价值表继续搭第二张表的表头，A1 到 D2 那块按之前的结构处理。”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x:v>
      </x:c>
      <x:c r="AE5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9" s="50" t="str">
        <x:v>not_pass</x:v>
      </x:c>
      <x:c r="AG59" s="50" t="n">
        <x:v>0</x:v>
      </x:c>
    </x:row>
    <x:row r="60" ht="189" customHeight="1">
      <x:c r="A60" s="35" t="str">
        <x:v>1d17d234-e39d-4ed7-b46f-4417922a4e7c_HQ4</x:v>
      </x:c>
      <x:c r="B60" s="36" t="str">
        <x:v>SG_TASK_1d17d234-e39d-4ed7-b46f-4417922a4e7c</x:v>
      </x:c>
      <x:c r="C60" s="36" t="str">
        <x:v>1d17d234-e39d-4ed7-b46f-4417922a4e7c</x:v>
      </x:c>
      <x:c r="D60" s="36" t="str">
        <x:v>FutureValue.xlsx</x:v>
      </x:c>
      <x:c r="E60" s="36" t="str">
        <x:v>single_memory</x:v>
      </x:c>
      <x:c r="F60" s="36" t="str">
        <x:v>low_overlap_paraphrase</x:v>
      </x:c>
      <x:c r="G60" s="36" t="str">
        <x:v>test</x:v>
      </x:c>
      <x:c r="H60" s="36" t="str">
        <x:v>困难</x:v>
      </x:c>
      <x:c r="I60" s="36" t="str">
        <x:v>1d17d234-e39d-4ed7-b46f-4417922a4e7c</x:v>
      </x:c>
      <x:c r="J60" s="36" t="str">
        <x:v>CTX_1d17d234-e39d-4ed7-b46f-4417922a4e7c</x:v>
      </x:c>
      <x:c r="K60" s="36" t="str">
        <x:v>LTM_1d17d234-e39d-4ed7-b46f-4417922a4e7c</x:v>
      </x:c>
      <x:c r="L60" s="36" t="str"/>
      <x:c r="M60" s="36" t="str"/>
      <x:c r="N60" s="36" t="str">
        <x:v>可复用模板</x:v>
      </x:c>
      <x:c r="O60" s="36" t="str">
        <x:v>长期</x:v>
      </x:c>
      <x:c r="P60" s="36" t="str">
        <x:v>["libreoffice_calc"]</x:v>
      </x:c>
      <x:c r="Q60" s="36" t="str">
        <x:v>[{"step_id":"S1","app":"libreoffice_calc","action_key":"build_investment_summary_header_layout","input_artifacts":["FutureValue.xlsx"],"output_artifacts":["FutureValue.xlsx"],"depends_on":[]}]</x:v>
      </x:c>
      <x:c r="R60" s="36" t="str">
        <x:v>[]</x:v>
      </x:c>
      <x:c r="S60" s="36" t="str">
        <x:v>build_investment_summary_header_layout</x:v>
      </x:c>
      <x:c r="T60" s="36" t="str">
        <x:v>FutureValue.xlsx</x:v>
      </x:c>
      <x:c r="U60" s="36" t="str">
        <x:v>retrieve_and_execute</x:v>
      </x:c>
      <x:c r="V60" s="36" t="str">
        <x:v>[{"point_id":"P1","description":"主要处理方式与预期动作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x:v>
      </x:c>
      <x:c r="W60" s="36" t="str">
        <x:v>1.00</x:v>
      </x:c>
      <x:c r="X60" s="39" t="str">
        <x:v>先把投资汇总页的骨架做好：一个总标题，下一行左右两个利率分区。</x:v>
      </x:c>
      <x:c r="Y60" s="39" t="str">
        <x:v>第1条记忆（长期/可复用模板）：在 FutureValue.xlsx 新建 Sheet2，合并 A1:C1 写入 Investment Summary；合并 A2:B2 写入 High Interest Rate；合并 C2:D2 写入 Low Interest Rate。关键约束：必须使用指定合并范围和英文标题；所有内容位于新建 Sheet2。</x:v>
      </x:c>
      <x:c r="Z60" s="39" t="str">
        <x:v>不适用：当前题目不存在需要用户进一步选择的候选记忆。</x:v>
      </x:c>
      <x:c r="AA60" s="39" t="str">
        <x:v>不适用：当前题目没有指定需要排除的冲突或禁止记忆。</x:v>
      </x:c>
      <x:c r="AB60" s="39" t="str">
        <x:v>应执行以下操作：在 FutureValue.xlsx 新建 Sheet2，合并 A1:C1 写入 Investment Summary；合并 A2:B2 写入 High Interest Rate；合并 C2:D2 写入 Low Interest Rate。</x:v>
      </x:c>
      <x:c r="AC60" s="39" t="str">
        <x:v>第1项实际操作：在 FutureValue.xlsx 新建 Sheet2，合并 A1:C1 写入 Investment Summary；合并 A2:B2 写入 High Interest Rate；合并 C2:D2 写入 Low Interest Rate。执行时必须满足：必须使用指定合并范围和英文标题；所有内容位于新建 Sheet2。</x:v>
      </x:c>
      <x:c r="AD60" s="39" t="str">
        <x:v>用户的完整请求是：“先把投资汇总页的骨架做好：一个总标题，下一行左右两个利率分区。”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x:v>
      </x:c>
      <x:c r="AE6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60" s="50" t="str">
        <x:v>not_pass</x:v>
      </x:c>
      <x:c r="AG60" s="50" t="n">
        <x:v>0</x:v>
      </x:c>
    </x:row>
    <x:row r="61" ht="189" customHeight="1">
      <x:c r="A61" s="35" t="str">
        <x:v>1d17d234-e39d-4ed7-b46f-4417922a4e7c_HQ5</x:v>
      </x:c>
      <x:c r="B61" s="36" t="str">
        <x:v>SG_TASK_1d17d234-e39d-4ed7-b46f-4417922a4e7c</x:v>
      </x:c>
      <x:c r="C61" s="36" t="str">
        <x:v>1d17d234-e39d-4ed7-b46f-4417922a4e7c</x:v>
      </x:c>
      <x:c r="D61" s="36" t="str">
        <x:v>FutureValue.xlsx</x:v>
      </x:c>
      <x:c r="E61" s="36" t="str">
        <x:v>single_memory</x:v>
      </x:c>
      <x:c r="F61" s="36" t="str">
        <x:v>human_constraint_emphasis</x:v>
      </x:c>
      <x:c r="G61" s="36" t="str">
        <x:v>test</x:v>
      </x:c>
      <x:c r="H61" s="36" t="str">
        <x:v>困难</x:v>
      </x:c>
      <x:c r="I61" s="36" t="str">
        <x:v>1d17d234-e39d-4ed7-b46f-4417922a4e7c</x:v>
      </x:c>
      <x:c r="J61" s="36" t="str">
        <x:v>CTX_1d17d234-e39d-4ed7-b46f-4417922a4e7c</x:v>
      </x:c>
      <x:c r="K61" s="36" t="str">
        <x:v>LTM_1d17d234-e39d-4ed7-b46f-4417922a4e7c</x:v>
      </x:c>
      <x:c r="L61" s="36" t="str"/>
      <x:c r="M61" s="36" t="str"/>
      <x:c r="N61" s="36" t="str">
        <x:v>可复用模板</x:v>
      </x:c>
      <x:c r="O61" s="36" t="str">
        <x:v>长期</x:v>
      </x:c>
      <x:c r="P61" s="36" t="str">
        <x:v>["libreoffice_calc"]</x:v>
      </x:c>
      <x:c r="Q61" s="36" t="str">
        <x:v>[{"step_id":"S1","app":"libreoffice_calc","action_key":"build_investment_summary_header_layout","input_artifacts":["FutureValue.xlsx"],"output_artifacts":["FutureValue.xlsx"],"depends_on":[]}]</x:v>
      </x:c>
      <x:c r="R61" s="36" t="str">
        <x:v>[]</x:v>
      </x:c>
      <x:c r="S61" s="36" t="str">
        <x:v>build_investment_summary_header_layout</x:v>
      </x:c>
      <x:c r="T61" s="36" t="str">
        <x:v>FutureValue.xlsx</x:v>
      </x:c>
      <x:c r="U61" s="36" t="str">
        <x:v>retrieve_and_execute</x:v>
      </x:c>
      <x:c r="V61" s="36" t="str">
        <x:v>[{"point_id":"P1","description":"主要处理方式与预期动作 build_investment_summary_header_layout 语义一致","weight":0.4,"evidence_memory_ids":["LTM_1d17d234-e39d-4ed7-b46f-4417922a4e7c"]},{"point_id":"P2","description":"正确定位目标对象 FutureValue.xlsx","weight":0.2,"evidence_memory_ids":["LTM_1d17d234-e39d-4ed7-b46f-4417922a4e7c"]},{"point_id":"P3","description":"满足关键条件：必须使用指定合并范围和英文标题；所有内容位于新建 Sheet2","weight":0.3,"evidence_memory_ids":["LTM_1d17d234-e39d-4ed7-b46f-4417922a4e7c"]},{"point_id":"P4","description":"不增加无记忆证据支持的操作","weight":0.1,"evidence_memory_ids":["LTM_1d17d234-e39d-4ed7-b46f-4417922a4e7c"]}]</x:v>
      </x:c>
      <x:c r="W61" s="36" t="str">
        <x:v>1.00</x:v>
      </x:c>
      <x:c r="X61" s="39" t="str">
        <x:v>Sheet2 里 A1:C1 写总标题，A2:B2 写 High Interest Rate，C2:D2 写 Low Interest Rate，合并范围别错。</x:v>
      </x:c>
      <x:c r="Y61" s="39" t="str">
        <x:v>第1条记忆（长期/可复用模板）：在 FutureValue.xlsx 新建 Sheet2，合并 A1:C1 写入 Investment Summary；合并 A2:B2 写入 High Interest Rate；合并 C2:D2 写入 Low Interest Rate。关键约束：必须使用指定合并范围和英文标题；所有内容位于新建 Sheet2。</x:v>
      </x:c>
      <x:c r="Z61" s="39" t="str">
        <x:v>不适用：当前题目不存在需要用户进一步选择的候选记忆。</x:v>
      </x:c>
      <x:c r="AA61" s="39" t="str">
        <x:v>不适用：当前题目没有指定需要排除的冲突或禁止记忆。</x:v>
      </x:c>
      <x:c r="AB61" s="39" t="str">
        <x:v>应执行以下操作：在 FutureValue.xlsx 新建 Sheet2，合并 A1:C1 写入 Investment Summary；合并 A2:B2 写入 High Interest Rate；合并 C2:D2 写入 Low Interest Rate。</x:v>
      </x:c>
      <x:c r="AC61" s="39" t="str">
        <x:v>第1项实际操作：在 FutureValue.xlsx 新建 Sheet2，合并 A1:C1 写入 Investment Summary；合并 A2:B2 写入 High Interest Rate；合并 C2:D2 写入 Low Interest Rate。执行时必须满足：必须使用指定合并范围和英文标题；所有内容位于新建 Sheet2。</x:v>
      </x:c>
      <x:c r="AD61" s="39" t="str">
        <x:v>用户的完整请求是：“Sheet2 里 A1:C1 写总标题，A2:B2 写 High Interest Rate，C2:D2 写 Low Interest Rate，合并范围别错。” 第1个当前上下文：FutureValue.xlsx 已在 LibreOffice Calc 中打开。 当前请求是在已有办公上下文中继续、复用或重新强调既有处理方式。与该请求唯一对应的完整必需记忆如下：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FutureValue.xlsx 新建 Sheet2，合并 A1:C1 写入 Investment Summary；合并 A2:B2 写入 High Interest Rate；合并 C2:D2 写入 Low Interest Rate。”</x:v>
      </x:c>
      <x:c r="AE6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第2个得分点（0.20分）：正确定位目标对象 FutureValue.xlsx。该得分点所依据的完整证据为：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第3个得分点（0.30分）：满足关键条件：必须使用指定合并范围和英文标题；所有内容位于新建 Sheet2。该得分点所依据的完整证据为：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第4个得分点（0.10分）：不增加无记忆证据支持的操作。该得分点所依据的完整证据为：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61" s="50" t="str">
        <x:v>not_pass</x:v>
      </x:c>
      <x:c r="AG61" s="50" t="n">
        <x:v>0</x:v>
      </x:c>
    </x:row>
    <x:row r="62" ht="175.5" customHeight="1">
      <x:c r="A62" s="35" t="str">
        <x:v>1de60575-bb6e-4c3d-9e6a-2fa699f9f197_HQ1</x:v>
      </x:c>
      <x:c r="B62" s="36" t="str">
        <x:v>SG_TASK_1de60575-bb6e-4c3d-9e6a-2fa699f9f197</x:v>
      </x:c>
      <x:c r="C62" s="36" t="str">
        <x:v>1de60575-bb6e-4c3d-9e6a-2fa699f9f197</x:v>
      </x:c>
      <x:c r="D62" s="36" t="str">
        <x:v>EntireSummerSales.xlsx</x:v>
      </x:c>
      <x:c r="E62" s="36" t="str">
        <x:v>single_memory</x:v>
      </x:c>
      <x:c r="F62" s="36" t="str">
        <x:v>human_context_explicit</x:v>
      </x:c>
      <x:c r="G62" s="36" t="str">
        <x:v>dev</x:v>
      </x:c>
      <x:c r="H62" s="36" t="str">
        <x:v>简单</x:v>
      </x:c>
      <x:c r="I62" s="36" t="str">
        <x:v>1de60575-bb6e-4c3d-9e6a-2fa699f9f197</x:v>
      </x:c>
      <x:c r="J62" s="36" t="str">
        <x:v>CTX_1de60575-bb6e-4c3d-9e6a-2fa699f9f197</x:v>
      </x:c>
      <x:c r="K62" s="36" t="str">
        <x:v>STM_1de60575-bb6e-4c3d-9e6a-2fa699f9f197</x:v>
      </x:c>
      <x:c r="L62" s="36" t="str"/>
      <x:c r="M62" s="36" t="str"/>
      <x:c r="N62" s="36" t="str">
        <x:v>工作流程</x:v>
      </x:c>
      <x:c r="O62" s="36" t="str">
        <x:v>短期</x:v>
      </x:c>
      <x:c r="P62" s="36" t="str">
        <x:v>["libreoffice_calc"]</x:v>
      </x:c>
      <x:c r="Q62" s="36" t="str">
        <x:v>[{"step_id":"S1","app":"libreoffice_calc","action_key":"create_promotion_revenue_pivot","input_artifacts":["EntireSummerSales.xlsx"],"output_artifacts":["EntireSummerSales.xlsx"],"depends_on":[]}]</x:v>
      </x:c>
      <x:c r="R62" s="36" t="str">
        <x:v>[]</x:v>
      </x:c>
      <x:c r="S62" s="36" t="str">
        <x:v>create_promotion_revenue_pivot</x:v>
      </x:c>
      <x:c r="T62" s="36" t="str">
        <x:v>EntireSummerSales.xlsx</x:v>
      </x:c>
      <x:c r="U62" s="36" t="str">
        <x:v>retrieve_and_execute</x:v>
      </x:c>
      <x:c r="V62" s="36" t="str">
        <x:v>[{"point_id":"P1","description":"主要处理方式与预期动作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x:v>
      </x:c>
      <x:c r="W62" s="36" t="str">
        <x:v>1.00</x:v>
      </x:c>
      <x:c r="X62" s="39" t="str">
        <x:v>EntireSummerSales.xlsx 的促销收入按之前的透视表版式汇总到 Sheet2，促销类型横着排。</x:v>
      </x:c>
      <x:c r="Y62" s="39" t="str">
        <x:v>第1条记忆（短期/工作流程）：在 EntireSummerSales.xlsx 新建 Sheet2，用数据透视表汇总每种 promotion type 的总 revenue，并将促销名称作为列标题。关键约束：使用数据透视表；促销名称作为列标题；结果放入 Sheet2。</x:v>
      </x:c>
      <x:c r="Z62" s="39" t="str">
        <x:v>不适用：当前题目不存在需要用户进一步选择的候选记忆。</x:v>
      </x:c>
      <x:c r="AA62" s="39" t="str">
        <x:v>不适用：当前题目没有指定需要排除的冲突或禁止记忆。</x:v>
      </x:c>
      <x:c r="AB62" s="39" t="str">
        <x:v>应执行以下操作：在 EntireSummerSales.xlsx 新建 Sheet2，用数据透视表汇总每种 promotion type 的总 revenue，并将促销名称作为列标题。</x:v>
      </x:c>
      <x:c r="AC62" s="39" t="str">
        <x:v>第1项实际操作：在 EntireSummerSales.xlsx 新建 Sheet2，用数据透视表汇总每种 promotion type 的总 revenue，并将促销名称作为列标题。执行时必须满足：使用数据透视表；促销名称作为列标题；结果放入 Sheet2。</x:v>
      </x:c>
      <x:c r="AD62" s="39" t="str">
        <x:v>用户的完整请求是：“EntireSummerSales.xlsx 的促销收入按之前的透视表版式汇总到 Sheet2，促销类型横着排。”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x:v>
      </x:c>
      <x:c r="AE6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62" s="50" t="str">
        <x:v>not_pass</x:v>
      </x:c>
      <x:c r="AG62" s="50" t="n">
        <x:v>0</x:v>
      </x:c>
    </x:row>
    <x:row r="63" ht="175.5" customHeight="1">
      <x:c r="A63" s="35" t="str">
        <x:v>1de60575-bb6e-4c3d-9e6a-2fa699f9f197_HQ2</x:v>
      </x:c>
      <x:c r="B63" s="36" t="str">
        <x:v>SG_TASK_1de60575-bb6e-4c3d-9e6a-2fa699f9f197</x:v>
      </x:c>
      <x:c r="C63" s="36" t="str">
        <x:v>1de60575-bb6e-4c3d-9e6a-2fa699f9f197</x:v>
      </x:c>
      <x:c r="D63" s="36" t="str">
        <x:v>EntireSummerSales.xlsx</x:v>
      </x:c>
      <x:c r="E63" s="36" t="str">
        <x:v>single_memory</x:v>
      </x:c>
      <x:c r="F63" s="36" t="str">
        <x:v>human_goal_oriented</x:v>
      </x:c>
      <x:c r="G63" s="36" t="str">
        <x:v>dev</x:v>
      </x:c>
      <x:c r="H63" s="36" t="str">
        <x:v>中等</x:v>
      </x:c>
      <x:c r="I63" s="36" t="str">
        <x:v>1de60575-bb6e-4c3d-9e6a-2fa699f9f197</x:v>
      </x:c>
      <x:c r="J63" s="36" t="str">
        <x:v>CTX_1de60575-bb6e-4c3d-9e6a-2fa699f9f197</x:v>
      </x:c>
      <x:c r="K63" s="36" t="str">
        <x:v>STM_1de60575-bb6e-4c3d-9e6a-2fa699f9f197</x:v>
      </x:c>
      <x:c r="L63" s="36" t="str"/>
      <x:c r="M63" s="36" t="str"/>
      <x:c r="N63" s="36" t="str">
        <x:v>工作流程</x:v>
      </x:c>
      <x:c r="O63" s="36" t="str">
        <x:v>短期</x:v>
      </x:c>
      <x:c r="P63" s="36" t="str">
        <x:v>["libreoffice_calc"]</x:v>
      </x:c>
      <x:c r="Q63" s="36" t="str">
        <x:v>[{"step_id":"S1","app":"libreoffice_calc","action_key":"create_promotion_revenue_pivot","input_artifacts":["EntireSummerSales.xlsx"],"output_artifacts":["EntireSummerSales.xlsx"],"depends_on":[]}]</x:v>
      </x:c>
      <x:c r="R63" s="36" t="str">
        <x:v>[]</x:v>
      </x:c>
      <x:c r="S63" s="36" t="str">
        <x:v>create_promotion_revenue_pivot</x:v>
      </x:c>
      <x:c r="T63" s="36" t="str">
        <x:v>EntireSummerSales.xlsx</x:v>
      </x:c>
      <x:c r="U63" s="36" t="str">
        <x:v>retrieve_and_execute</x:v>
      </x:c>
      <x:c r="V63" s="36" t="str">
        <x:v>[{"point_id":"P1","description":"主要处理方式与预期动作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x:v>
      </x:c>
      <x:c r="W63" s="36" t="str">
        <x:v>1.00</x:v>
      </x:c>
      <x:c r="X63" s="39" t="str">
        <x:v>我想比较不同促销方式带来的总收入，把每种 promotion 的名称放在列头，再汇总 revenue。</x:v>
      </x:c>
      <x:c r="Y63" s="39" t="str">
        <x:v>第1条记忆（短期/工作流程）：在 EntireSummerSales.xlsx 新建 Sheet2，用数据透视表汇总每种 promotion type 的总 revenue，并将促销名称作为列标题。关键约束：使用数据透视表；促销名称作为列标题；结果放入 Sheet2。</x:v>
      </x:c>
      <x:c r="Z63" s="39" t="str">
        <x:v>不适用：当前题目不存在需要用户进一步选择的候选记忆。</x:v>
      </x:c>
      <x:c r="AA63" s="39" t="str">
        <x:v>不适用：当前题目没有指定需要排除的冲突或禁止记忆。</x:v>
      </x:c>
      <x:c r="AB63" s="39" t="str">
        <x:v>应执行以下操作：在 EntireSummerSales.xlsx 新建 Sheet2，用数据透视表汇总每种 promotion type 的总 revenue，并将促销名称作为列标题。</x:v>
      </x:c>
      <x:c r="AC63" s="39" t="str">
        <x:v>第1项实际操作：在 EntireSummerSales.xlsx 新建 Sheet2，用数据透视表汇总每种 promotion type 的总 revenue，并将促销名称作为列标题。执行时必须满足：使用数据透视表；促销名称作为列标题；结果放入 Sheet2。</x:v>
      </x:c>
      <x:c r="AD63" s="39" t="str">
        <x:v>用户的完整请求是：“我想比较不同促销方式带来的总收入，把每种 promotion 的名称放在列头，再汇总 revenue。”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x:v>
      </x:c>
      <x:c r="AE6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63" s="50" t="str">
        <x:v>not_pass</x:v>
      </x:c>
      <x:c r="AG63" s="50" t="n">
        <x:v>0</x:v>
      </x:c>
    </x:row>
    <x:row r="64" ht="175.5" customHeight="1">
      <x:c r="A64" s="35" t="str">
        <x:v>1de60575-bb6e-4c3d-9e6a-2fa699f9f197_HQ3</x:v>
      </x:c>
      <x:c r="B64" s="36" t="str">
        <x:v>SG_TASK_1de60575-bb6e-4c3d-9e6a-2fa699f9f197</x:v>
      </x:c>
      <x:c r="C64" s="36" t="str">
        <x:v>1de60575-bb6e-4c3d-9e6a-2fa699f9f197</x:v>
      </x:c>
      <x:c r="D64" s="36" t="str">
        <x:v>EntireSummerSales.xlsx</x:v>
      </x:c>
      <x:c r="E64" s="36" t="str">
        <x:v>single_memory</x:v>
      </x:c>
      <x:c r="F64" s="36" t="str">
        <x:v>contextual_ellipsis</x:v>
      </x:c>
      <x:c r="G64" s="36" t="str">
        <x:v>dev</x:v>
      </x:c>
      <x:c r="H64" s="36" t="str">
        <x:v>中等</x:v>
      </x:c>
      <x:c r="I64" s="36" t="str">
        <x:v>1de60575-bb6e-4c3d-9e6a-2fa699f9f197</x:v>
      </x:c>
      <x:c r="J64" s="36" t="str">
        <x:v>CTX_1de60575-bb6e-4c3d-9e6a-2fa699f9f197</x:v>
      </x:c>
      <x:c r="K64" s="36" t="str">
        <x:v>STM_1de60575-bb6e-4c3d-9e6a-2fa699f9f197</x:v>
      </x:c>
      <x:c r="L64" s="36" t="str"/>
      <x:c r="M64" s="36" t="str"/>
      <x:c r="N64" s="36" t="str">
        <x:v>工作流程</x:v>
      </x:c>
      <x:c r="O64" s="36" t="str">
        <x:v>短期</x:v>
      </x:c>
      <x:c r="P64" s="36" t="str">
        <x:v>["libreoffice_calc"]</x:v>
      </x:c>
      <x:c r="Q64" s="36" t="str">
        <x:v>[{"step_id":"S1","app":"libreoffice_calc","action_key":"create_promotion_revenue_pivot","input_artifacts":["EntireSummerSales.xlsx"],"output_artifacts":["EntireSummerSales.xlsx"],"depends_on":[]}]</x:v>
      </x:c>
      <x:c r="R64" s="36" t="str">
        <x:v>[]</x:v>
      </x:c>
      <x:c r="S64" s="36" t="str">
        <x:v>create_promotion_revenue_pivot</x:v>
      </x:c>
      <x:c r="T64" s="36" t="str">
        <x:v>EntireSummerSales.xlsx</x:v>
      </x:c>
      <x:c r="U64" s="36" t="str">
        <x:v>retrieve_and_execute</x:v>
      </x:c>
      <x:c r="V64" s="36" t="str">
        <x:v>[{"point_id":"P1","description":"主要处理方式与预期动作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x:v>
      </x:c>
      <x:c r="W64" s="36" t="str">
        <x:v>1.00</x:v>
      </x:c>
      <x:c r="X64" s="39" t="str">
        <x:v>当前暑期销售表继续做促销类型汇总，第二张表用 Pivot Table。</x:v>
      </x:c>
      <x:c r="Y64" s="39" t="str">
        <x:v>第1条记忆（短期/工作流程）：在 EntireSummerSales.xlsx 新建 Sheet2，用数据透视表汇总每种 promotion type 的总 revenue，并将促销名称作为列标题。关键约束：使用数据透视表；促销名称作为列标题；结果放入 Sheet2。</x:v>
      </x:c>
      <x:c r="Z64" s="39" t="str">
        <x:v>不适用：当前题目不存在需要用户进一步选择的候选记忆。</x:v>
      </x:c>
      <x:c r="AA64" s="39" t="str">
        <x:v>不适用：当前题目没有指定需要排除的冲突或禁止记忆。</x:v>
      </x:c>
      <x:c r="AB64" s="39" t="str">
        <x:v>应执行以下操作：在 EntireSummerSales.xlsx 新建 Sheet2，用数据透视表汇总每种 promotion type 的总 revenue，并将促销名称作为列标题。</x:v>
      </x:c>
      <x:c r="AC64" s="39" t="str">
        <x:v>第1项实际操作：在 EntireSummerSales.xlsx 新建 Sheet2，用数据透视表汇总每种 promotion type 的总 revenue，并将促销名称作为列标题。执行时必须满足：使用数据透视表；促销名称作为列标题；结果放入 Sheet2。</x:v>
      </x:c>
      <x:c r="AD64" s="39" t="str">
        <x:v>用户的完整请求是：“当前暑期销售表继续做促销类型汇总，第二张表用 Pivot Table。”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x:v>
      </x:c>
      <x:c r="AE6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64" s="50" t="str">
        <x:v>not_pass</x:v>
      </x:c>
      <x:c r="AG64" s="50" t="n">
        <x:v>0</x:v>
      </x:c>
    </x:row>
    <x:row r="65" ht="175.5" customHeight="1">
      <x:c r="A65" s="35" t="str">
        <x:v>1de60575-bb6e-4c3d-9e6a-2fa699f9f197_HQ4</x:v>
      </x:c>
      <x:c r="B65" s="36" t="str">
        <x:v>SG_TASK_1de60575-bb6e-4c3d-9e6a-2fa699f9f197</x:v>
      </x:c>
      <x:c r="C65" s="36" t="str">
        <x:v>1de60575-bb6e-4c3d-9e6a-2fa699f9f197</x:v>
      </x:c>
      <x:c r="D65" s="36" t="str">
        <x:v>EntireSummerSales.xlsx</x:v>
      </x:c>
      <x:c r="E65" s="36" t="str">
        <x:v>single_memory</x:v>
      </x:c>
      <x:c r="F65" s="36" t="str">
        <x:v>low_overlap_paraphrase</x:v>
      </x:c>
      <x:c r="G65" s="36" t="str">
        <x:v>dev</x:v>
      </x:c>
      <x:c r="H65" s="36" t="str">
        <x:v>困难</x:v>
      </x:c>
      <x:c r="I65" s="36" t="str">
        <x:v>1de60575-bb6e-4c3d-9e6a-2fa699f9f197</x:v>
      </x:c>
      <x:c r="J65" s="36" t="str">
        <x:v>CTX_1de60575-bb6e-4c3d-9e6a-2fa699f9f197</x:v>
      </x:c>
      <x:c r="K65" s="36" t="str">
        <x:v>STM_1de60575-bb6e-4c3d-9e6a-2fa699f9f197</x:v>
      </x:c>
      <x:c r="L65" s="36" t="str"/>
      <x:c r="M65" s="36" t="str"/>
      <x:c r="N65" s="36" t="str">
        <x:v>工作流程</x:v>
      </x:c>
      <x:c r="O65" s="36" t="str">
        <x:v>短期</x:v>
      </x:c>
      <x:c r="P65" s="36" t="str">
        <x:v>["libreoffice_calc"]</x:v>
      </x:c>
      <x:c r="Q65" s="36" t="str">
        <x:v>[{"step_id":"S1","app":"libreoffice_calc","action_key":"create_promotion_revenue_pivot","input_artifacts":["EntireSummerSales.xlsx"],"output_artifacts":["EntireSummerSales.xlsx"],"depends_on":[]}]</x:v>
      </x:c>
      <x:c r="R65" s="36" t="str">
        <x:v>[]</x:v>
      </x:c>
      <x:c r="S65" s="36" t="str">
        <x:v>create_promotion_revenue_pivot</x:v>
      </x:c>
      <x:c r="T65" s="36" t="str">
        <x:v>EntireSummerSales.xlsx</x:v>
      </x:c>
      <x:c r="U65" s="36" t="str">
        <x:v>retrieve_and_execute</x:v>
      </x:c>
      <x:c r="V65" s="36" t="str">
        <x:v>[{"point_id":"P1","description":"主要处理方式与预期动作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x:v>
      </x:c>
      <x:c r="W65" s="36" t="str">
        <x:v>1.00</x:v>
      </x:c>
      <x:c r="X65" s="39" t="str">
        <x:v>为了看哪种活动贡献最高，请按促销类别把收入加总，并把类别作为横向表头。</x:v>
      </x:c>
      <x:c r="Y65" s="39" t="str">
        <x:v>第1条记忆（短期/工作流程）：在 EntireSummerSales.xlsx 新建 Sheet2，用数据透视表汇总每种 promotion type 的总 revenue，并将促销名称作为列标题。关键约束：使用数据透视表；促销名称作为列标题；结果放入 Sheet2。</x:v>
      </x:c>
      <x:c r="Z65" s="39" t="str">
        <x:v>不适用：当前题目不存在需要用户进一步选择的候选记忆。</x:v>
      </x:c>
      <x:c r="AA65" s="39" t="str">
        <x:v>不适用：当前题目没有指定需要排除的冲突或禁止记忆。</x:v>
      </x:c>
      <x:c r="AB65" s="39" t="str">
        <x:v>应执行以下操作：在 EntireSummerSales.xlsx 新建 Sheet2，用数据透视表汇总每种 promotion type 的总 revenue，并将促销名称作为列标题。</x:v>
      </x:c>
      <x:c r="AC65" s="39" t="str">
        <x:v>第1项实际操作：在 EntireSummerSales.xlsx 新建 Sheet2，用数据透视表汇总每种 promotion type 的总 revenue，并将促销名称作为列标题。执行时必须满足：使用数据透视表；促销名称作为列标题；结果放入 Sheet2。</x:v>
      </x:c>
      <x:c r="AD65" s="39" t="str">
        <x:v>用户的完整请求是：“为了看哪种活动贡献最高，请按促销类别把收入加总，并把类别作为横向表头。”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x:v>
      </x:c>
      <x:c r="AE6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65" s="50" t="str">
        <x:v>not_pass</x:v>
      </x:c>
      <x:c r="AG65" s="50" t="n">
        <x:v>0</x:v>
      </x:c>
    </x:row>
    <x:row r="66" ht="175.5" customHeight="1">
      <x:c r="A66" s="35" t="str">
        <x:v>1de60575-bb6e-4c3d-9e6a-2fa699f9f197_HQ5</x:v>
      </x:c>
      <x:c r="B66" s="36" t="str">
        <x:v>SG_TASK_1de60575-bb6e-4c3d-9e6a-2fa699f9f197</x:v>
      </x:c>
      <x:c r="C66" s="36" t="str">
        <x:v>1de60575-bb6e-4c3d-9e6a-2fa699f9f197</x:v>
      </x:c>
      <x:c r="D66" s="36" t="str">
        <x:v>EntireSummerSales.xlsx</x:v>
      </x:c>
      <x:c r="E66" s="36" t="str">
        <x:v>single_memory</x:v>
      </x:c>
      <x:c r="F66" s="36" t="str">
        <x:v>human_constraint_emphasis</x:v>
      </x:c>
      <x:c r="G66" s="36" t="str">
        <x:v>dev</x:v>
      </x:c>
      <x:c r="H66" s="36" t="str">
        <x:v>困难</x:v>
      </x:c>
      <x:c r="I66" s="36" t="str">
        <x:v>1de60575-bb6e-4c3d-9e6a-2fa699f9f197</x:v>
      </x:c>
      <x:c r="J66" s="36" t="str">
        <x:v>CTX_1de60575-bb6e-4c3d-9e6a-2fa699f9f197</x:v>
      </x:c>
      <x:c r="K66" s="36" t="str">
        <x:v>STM_1de60575-bb6e-4c3d-9e6a-2fa699f9f197</x:v>
      </x:c>
      <x:c r="L66" s="36" t="str"/>
      <x:c r="M66" s="36" t="str"/>
      <x:c r="N66" s="36" t="str">
        <x:v>工作流程</x:v>
      </x:c>
      <x:c r="O66" s="36" t="str">
        <x:v>短期</x:v>
      </x:c>
      <x:c r="P66" s="36" t="str">
        <x:v>["libreoffice_calc"]</x:v>
      </x:c>
      <x:c r="Q66" s="36" t="str">
        <x:v>[{"step_id":"S1","app":"libreoffice_calc","action_key":"create_promotion_revenue_pivot","input_artifacts":["EntireSummerSales.xlsx"],"output_artifacts":["EntireSummerSales.xlsx"],"depends_on":[]}]</x:v>
      </x:c>
      <x:c r="R66" s="36" t="str">
        <x:v>[]</x:v>
      </x:c>
      <x:c r="S66" s="36" t="str">
        <x:v>create_promotion_revenue_pivot</x:v>
      </x:c>
      <x:c r="T66" s="36" t="str">
        <x:v>EntireSummerSales.xlsx</x:v>
      </x:c>
      <x:c r="U66" s="36" t="str">
        <x:v>retrieve_and_execute</x:v>
      </x:c>
      <x:c r="V66" s="36" t="str">
        <x:v>[{"point_id":"P1","description":"主要处理方式与预期动作 create_promotion_revenue_pivot 语义一致","weight":0.4,"evidence_memory_ids":["STM_1de60575-bb6e-4c3d-9e6a-2fa699f9f197"]},{"point_id":"P2","description":"正确定位目标对象 EntireSummerSales.xlsx","weight":0.2,"evidence_memory_ids":["STM_1de60575-bb6e-4c3d-9e6a-2fa699f9f197"]},{"point_id":"P3","description":"满足关键条件：使用数据透视表；促销名称作为列标题；结果放入 Sheet2","weight":0.3,"evidence_memory_ids":["STM_1de60575-bb6e-4c3d-9e6a-2fa699f9f197"]},{"point_id":"P4","description":"不增加无记忆证据支持的操作","weight":0.1,"evidence_memory_ids":["STM_1de60575-bb6e-4c3d-9e6a-2fa699f9f197"]}]</x:v>
      </x:c>
      <x:c r="W66" s="36" t="str">
        <x:v>1.00</x:v>
      </x:c>
      <x:c r="X66" s="39" t="str">
        <x:v>这份表还是 promotion type 做列、总 revenue 做值，结果放 Sheet2。</x:v>
      </x:c>
      <x:c r="Y66" s="39" t="str">
        <x:v>第1条记忆（短期/工作流程）：在 EntireSummerSales.xlsx 新建 Sheet2，用数据透视表汇总每种 promotion type 的总 revenue，并将促销名称作为列标题。关键约束：使用数据透视表；促销名称作为列标题；结果放入 Sheet2。</x:v>
      </x:c>
      <x:c r="Z66" s="39" t="str">
        <x:v>不适用：当前题目不存在需要用户进一步选择的候选记忆。</x:v>
      </x:c>
      <x:c r="AA66" s="39" t="str">
        <x:v>不适用：当前题目没有指定需要排除的冲突或禁止记忆。</x:v>
      </x:c>
      <x:c r="AB66" s="39" t="str">
        <x:v>应执行以下操作：在 EntireSummerSales.xlsx 新建 Sheet2，用数据透视表汇总每种 promotion type 的总 revenue，并将促销名称作为列标题。</x:v>
      </x:c>
      <x:c r="AC66" s="39" t="str">
        <x:v>第1项实际操作：在 EntireSummerSales.xlsx 新建 Sheet2，用数据透视表汇总每种 promotion type 的总 revenue，并将促销名称作为列标题。执行时必须满足：使用数据透视表；促销名称作为列标题；结果放入 Sheet2。</x:v>
      </x:c>
      <x:c r="AD66" s="39" t="str">
        <x:v>用户的完整请求是：“这份表还是 promotion type 做列、总 revenue 做值，结果放 Sheet2。” 第1个当前上下文：EntireSummerSales.xlsx 已在 LibreOffice Calc 中打开。 当前请求是在已有办公上下文中继续、复用或重新强调既有处理方式。与该请求唯一对应的完整必需记忆如下：
第1条记忆（短期/工作流程）：在 EntireSummerSales.xlsx 新建 Sheet2，用数据透视表汇总每种 promotion type 的总 revenue，并将促销名称作为列标题。关键约束：使用数据透视表；促销名称作为列标题；结果放入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EntireSummerSales.xlsx 新建 Sheet2，用数据透视表汇总每种 promotion type 的总 revenue，并将促销名称作为列标题。”</x:v>
      </x:c>
      <x:c r="AE6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第2个得分点（0.20分）：正确定位目标对象 EntireSummerSales.xlsx。该得分点所依据的完整证据为：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第3个得分点（0.30分）：满足关键条件：使用数据透视表；促销名称作为列标题；结果放入 Sheet2。该得分点所依据的完整证据为：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第4个得分点（0.10分）：不增加无记忆证据支持的操作。该得分点所依据的完整证据为：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66" s="50" t="str">
        <x:v>not_pass</x:v>
      </x:c>
      <x:c r="AG66" s="50" t="n">
        <x:v>0</x:v>
      </x:c>
    </x:row>
    <x:row r="67" ht="189" customHeight="1">
      <x:c r="A67" s="35" t="str">
        <x:v>1e8df695-bd1b-45b3-b557-e7d599cf7597_HQ1</x:v>
      </x:c>
      <x:c r="B67" s="36" t="str">
        <x:v>SG_TASK_1e8df695-bd1b-45b3-b557-e7d599cf7597</x:v>
      </x:c>
      <x:c r="C67" s="36" t="str">
        <x:v>1e8df695-bd1b-45b3-b557-e7d599cf7597</x:v>
      </x:c>
      <x:c r="D67" s="36" t="str">
        <x:v>WeeklySales.xlsx</x:v>
      </x:c>
      <x:c r="E67" s="36" t="str">
        <x:v>single_memory</x:v>
      </x:c>
      <x:c r="F67" s="36" t="str">
        <x:v>human_context_explicit</x:v>
      </x:c>
      <x:c r="G67" s="36" t="str">
        <x:v>dev</x:v>
      </x:c>
      <x:c r="H67" s="36" t="str">
        <x:v>简单</x:v>
      </x:c>
      <x:c r="I67" s="36" t="str">
        <x:v>1e8df695-bd1b-45b3-b557-e7d599cf7597</x:v>
      </x:c>
      <x:c r="J67" s="36" t="str">
        <x:v>CTX_1e8df695-bd1b-45b3-b557-e7d599cf7597</x:v>
      </x:c>
      <x:c r="K67" s="36" t="str">
        <x:v>MTM_1e8df695-bd1b-45b3-b557-e7d599cf7597</x:v>
      </x:c>
      <x:c r="L67" s="36" t="str"/>
      <x:c r="M67" s="36" t="str">
        <x:v>MTM_12382c62-0cd1-4bf2-bdc8-1d20bf9b2371</x:v>
      </x:c>
      <x:c r="N67" s="36" t="str">
        <x:v>知识</x:v>
      </x:c>
      <x:c r="O67" s="36" t="str">
        <x:v>中期</x:v>
      </x:c>
      <x:c r="P67" s="36" t="str">
        <x:v>["libreoffice_calc"]</x:v>
      </x:c>
      <x:c r="Q67" s="36" t="str">
        <x:v>[{"step_id":"S1","app":"libreoffice_calc","action_key":"calculate_weekly_profit","input_artifacts":["WeeklySales.xlsx"],"output_artifacts":["WeeklySales.xlsx"],"depends_on":[]}]</x:v>
      </x:c>
      <x:c r="R67" s="36" t="str">
        <x:v>[]</x:v>
      </x:c>
      <x:c r="S67" s="36" t="str">
        <x:v>calculate_weekly_profit</x:v>
      </x:c>
      <x:c r="T67" s="36" t="str">
        <x:v>WeeklySales.xlsx</x:v>
      </x:c>
      <x:c r="U67" s="36" t="str">
        <x:v>retrieve_and_execute</x:v>
      </x:c>
      <x:c r="V67" s="36" t="str">
        <x:v>[{"point_id":"P1","description":"主要处理方式与预期动作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x:v>
      </x:c>
      <x:c r="W67" s="36" t="str">
        <x:v>1.00</x:v>
      </x:c>
      <x:c r="X67" s="39" t="str">
        <x:v>WeeklySales.xlsx 的利润列还没补，按之前的口径在 COGS 右边用 Sales 减成本算出来。</x:v>
      </x:c>
      <x:c r="Y67" s="39" t="str">
        <x:v>第1条记忆（中期/知识）：在 WeeklySales.xlsx 的 COGS 列右侧新增 Profit 列，并按每周 Sales 减去 COGS 计算利润。关键约束：Profit 紧邻 COGS；逐周计算 Sales-COGS；不创建图表。</x:v>
      </x:c>
      <x:c r="Z67" s="39" t="str">
        <x:v>不适用：当前题目不存在需要用户进一步选择的候选记忆。</x:v>
      </x:c>
      <x:c r="AA67" s="39" t="str">
        <x:v>第1条记忆（中期/可复用模板）：在 WeeklySales.xlsx 新建 Sheet2，为每周的 Sales 和 COGS 数据创建簇状柱形图，图表标题设为 Sales &amp; COGS。关键约束：图表放在 Sheet2；图表类型为簇状柱形图；标题必须为 Sales &amp; COGS。</x:v>
      </x:c>
      <x:c r="AB67" s="39" t="str">
        <x:v>应执行以下操作：在 WeeklySales.xlsx 的 COGS 列右侧新增 Profit 列，并按每周 Sales 减去 COGS 计算利润。</x:v>
      </x:c>
      <x:c r="AC67" s="39" t="str">
        <x:v>第1项实际操作：在 WeeklySales.xlsx 的 COGS 列右侧新增 Profit 列，并按每周 Sales 减去 COGS 计算利润。执行时必须满足：Profit 紧邻 COGS；逐周计算 Sales-COGS；不创建图表。</x:v>
      </x:c>
      <x:c r="AD67" s="39" t="str">
        <x:v>用户的完整请求是：“WeeklySales.xlsx 的利润列还没补，按之前的口径在 COGS 右边用 Sales 减成本算出来。”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x:v>
      </x:c>
      <x:c r="AE6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67" s="50" t="str">
        <x:v>not_pass</x:v>
      </x:c>
      <x:c r="AG67" s="50" t="n">
        <x:v>0</x:v>
      </x:c>
    </x:row>
    <x:row r="68" ht="189" customHeight="1">
      <x:c r="A68" s="35" t="str">
        <x:v>1e8df695-bd1b-45b3-b557-e7d599cf7597_HQ2</x:v>
      </x:c>
      <x:c r="B68" s="36" t="str">
        <x:v>SG_TASK_1e8df695-bd1b-45b3-b557-e7d599cf7597</x:v>
      </x:c>
      <x:c r="C68" s="36" t="str">
        <x:v>1e8df695-bd1b-45b3-b557-e7d599cf7597</x:v>
      </x:c>
      <x:c r="D68" s="36" t="str">
        <x:v>WeeklySales.xlsx</x:v>
      </x:c>
      <x:c r="E68" s="36" t="str">
        <x:v>single_memory</x:v>
      </x:c>
      <x:c r="F68" s="36" t="str">
        <x:v>human_goal_oriented</x:v>
      </x:c>
      <x:c r="G68" s="36" t="str">
        <x:v>dev</x:v>
      </x:c>
      <x:c r="H68" s="36" t="str">
        <x:v>中等</x:v>
      </x:c>
      <x:c r="I68" s="36" t="str">
        <x:v>1e8df695-bd1b-45b3-b557-e7d599cf7597</x:v>
      </x:c>
      <x:c r="J68" s="36" t="str">
        <x:v>CTX_1e8df695-bd1b-45b3-b557-e7d599cf7597</x:v>
      </x:c>
      <x:c r="K68" s="36" t="str">
        <x:v>MTM_1e8df695-bd1b-45b3-b557-e7d599cf7597</x:v>
      </x:c>
      <x:c r="L68" s="36" t="str"/>
      <x:c r="M68" s="36" t="str">
        <x:v>MTM_12382c62-0cd1-4bf2-bdc8-1d20bf9b2371</x:v>
      </x:c>
      <x:c r="N68" s="36" t="str">
        <x:v>知识</x:v>
      </x:c>
      <x:c r="O68" s="36" t="str">
        <x:v>中期</x:v>
      </x:c>
      <x:c r="P68" s="36" t="str">
        <x:v>["libreoffice_calc"]</x:v>
      </x:c>
      <x:c r="Q68" s="36" t="str">
        <x:v>[{"step_id":"S1","app":"libreoffice_calc","action_key":"calculate_weekly_profit","input_artifacts":["WeeklySales.xlsx"],"output_artifacts":["WeeklySales.xlsx"],"depends_on":[]}]</x:v>
      </x:c>
      <x:c r="R68" s="36" t="str">
        <x:v>[]</x:v>
      </x:c>
      <x:c r="S68" s="36" t="str">
        <x:v>calculate_weekly_profit</x:v>
      </x:c>
      <x:c r="T68" s="36" t="str">
        <x:v>WeeklySales.xlsx</x:v>
      </x:c>
      <x:c r="U68" s="36" t="str">
        <x:v>retrieve_and_execute</x:v>
      </x:c>
      <x:c r="V68" s="36" t="str">
        <x:v>[{"point_id":"P1","description":"主要处理方式与预期动作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x:v>
      </x:c>
      <x:c r="W68" s="36" t="str">
        <x:v>1.00</x:v>
      </x:c>
      <x:c r="X68" s="39" t="str">
        <x:v>我需要逐周看赚了多少，麻烦在成本列旁边加 Profit，并用销售额扣掉 COGS。</x:v>
      </x:c>
      <x:c r="Y68" s="39" t="str">
        <x:v>第1条记忆（中期/知识）：在 WeeklySales.xlsx 的 COGS 列右侧新增 Profit 列，并按每周 Sales 减去 COGS 计算利润。关键约束：Profit 紧邻 COGS；逐周计算 Sales-COGS；不创建图表。</x:v>
      </x:c>
      <x:c r="Z68" s="39" t="str">
        <x:v>不适用：当前题目不存在需要用户进一步选择的候选记忆。</x:v>
      </x:c>
      <x:c r="AA68" s="39" t="str">
        <x:v>第1条记忆（中期/可复用模板）：在 WeeklySales.xlsx 新建 Sheet2，为每周的 Sales 和 COGS 数据创建簇状柱形图，图表标题设为 Sales &amp; COGS。关键约束：图表放在 Sheet2；图表类型为簇状柱形图；标题必须为 Sales &amp; COGS。</x:v>
      </x:c>
      <x:c r="AB68" s="39" t="str">
        <x:v>应执行以下操作：在 WeeklySales.xlsx 的 COGS 列右侧新增 Profit 列，并按每周 Sales 减去 COGS 计算利润。</x:v>
      </x:c>
      <x:c r="AC68" s="39" t="str">
        <x:v>第1项实际操作：在 WeeklySales.xlsx 的 COGS 列右侧新增 Profit 列，并按每周 Sales 减去 COGS 计算利润。执行时必须满足：Profit 紧邻 COGS；逐周计算 Sales-COGS；不创建图表。</x:v>
      </x:c>
      <x:c r="AD68" s="39" t="str">
        <x:v>用户的完整请求是：“我需要逐周看赚了多少，麻烦在成本列旁边加 Profit，并用销售额扣掉 COGS。”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x:v>
      </x:c>
      <x:c r="AE6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68" s="50" t="str">
        <x:v>not_pass</x:v>
      </x:c>
      <x:c r="AG68" s="50" t="n">
        <x:v>0</x:v>
      </x:c>
    </x:row>
    <x:row r="69" ht="189" customHeight="1">
      <x:c r="A69" s="35" t="str">
        <x:v>1e8df695-bd1b-45b3-b557-e7d599cf7597_HQ3</x:v>
      </x:c>
      <x:c r="B69" s="36" t="str">
        <x:v>SG_TASK_1e8df695-bd1b-45b3-b557-e7d599cf7597</x:v>
      </x:c>
      <x:c r="C69" s="36" t="str">
        <x:v>1e8df695-bd1b-45b3-b557-e7d599cf7597</x:v>
      </x:c>
      <x:c r="D69" s="36" t="str">
        <x:v>WeeklySales.xlsx</x:v>
      </x:c>
      <x:c r="E69" s="36" t="str">
        <x:v>single_memory</x:v>
      </x:c>
      <x:c r="F69" s="36" t="str">
        <x:v>contextual_ellipsis</x:v>
      </x:c>
      <x:c r="G69" s="36" t="str">
        <x:v>dev</x:v>
      </x:c>
      <x:c r="H69" s="36" t="str">
        <x:v>中等</x:v>
      </x:c>
      <x:c r="I69" s="36" t="str">
        <x:v>1e8df695-bd1b-45b3-b557-e7d599cf7597</x:v>
      </x:c>
      <x:c r="J69" s="36" t="str">
        <x:v>CTX_1e8df695-bd1b-45b3-b557-e7d599cf7597</x:v>
      </x:c>
      <x:c r="K69" s="36" t="str">
        <x:v>MTM_1e8df695-bd1b-45b3-b557-e7d599cf7597</x:v>
      </x:c>
      <x:c r="L69" s="36" t="str"/>
      <x:c r="M69" s="36" t="str">
        <x:v>MTM_12382c62-0cd1-4bf2-bdc8-1d20bf9b2371</x:v>
      </x:c>
      <x:c r="N69" s="36" t="str">
        <x:v>知识</x:v>
      </x:c>
      <x:c r="O69" s="36" t="str">
        <x:v>中期</x:v>
      </x:c>
      <x:c r="P69" s="36" t="str">
        <x:v>["libreoffice_calc"]</x:v>
      </x:c>
      <x:c r="Q69" s="36" t="str">
        <x:v>[{"step_id":"S1","app":"libreoffice_calc","action_key":"calculate_weekly_profit","input_artifacts":["WeeklySales.xlsx"],"output_artifacts":["WeeklySales.xlsx"],"depends_on":[]}]</x:v>
      </x:c>
      <x:c r="R69" s="36" t="str">
        <x:v>[]</x:v>
      </x:c>
      <x:c r="S69" s="36" t="str">
        <x:v>calculate_weekly_profit</x:v>
      </x:c>
      <x:c r="T69" s="36" t="str">
        <x:v>WeeklySales.xlsx</x:v>
      </x:c>
      <x:c r="U69" s="36" t="str">
        <x:v>retrieve_and_execute</x:v>
      </x:c>
      <x:c r="V69" s="36" t="str">
        <x:v>[{"point_id":"P1","description":"主要处理方式与预期动作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x:v>
      </x:c>
      <x:c r="W69" s="36" t="str">
        <x:v>1.00</x:v>
      </x:c>
      <x:c r="X69" s="39" t="str">
        <x:v>当前周销售表只做利润计算，不用画 Sales &amp; COGS 的图。</x:v>
      </x:c>
      <x:c r="Y69" s="39" t="str">
        <x:v>第1条记忆（中期/知识）：在 WeeklySales.xlsx 的 COGS 列右侧新增 Profit 列，并按每周 Sales 减去 COGS 计算利润。关键约束：Profit 紧邻 COGS；逐周计算 Sales-COGS；不创建图表。</x:v>
      </x:c>
      <x:c r="Z69" s="39" t="str">
        <x:v>不适用：当前题目不存在需要用户进一步选择的候选记忆。</x:v>
      </x:c>
      <x:c r="AA69" s="39" t="str">
        <x:v>第1条记忆（中期/可复用模板）：在 WeeklySales.xlsx 新建 Sheet2，为每周的 Sales 和 COGS 数据创建簇状柱形图，图表标题设为 Sales &amp; COGS。关键约束：图表放在 Sheet2；图表类型为簇状柱形图；标题必须为 Sales &amp; COGS。</x:v>
      </x:c>
      <x:c r="AB69" s="39" t="str">
        <x:v>应执行以下操作：在 WeeklySales.xlsx 的 COGS 列右侧新增 Profit 列，并按每周 Sales 减去 COGS 计算利润。</x:v>
      </x:c>
      <x:c r="AC69" s="39" t="str">
        <x:v>第1项实际操作：在 WeeklySales.xlsx 的 COGS 列右侧新增 Profit 列，并按每周 Sales 减去 COGS 计算利润。执行时必须满足：Profit 紧邻 COGS；逐周计算 Sales-COGS；不创建图表。</x:v>
      </x:c>
      <x:c r="AD69" s="39" t="str">
        <x:v>用户的完整请求是：“当前周销售表只做利润计算，不用画 Sales &amp; COGS 的图。”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x:v>
      </x:c>
      <x:c r="AE6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69" s="50" t="str">
        <x:v>not_pass</x:v>
      </x:c>
      <x:c r="AG69" s="50" t="n">
        <x:v>0</x:v>
      </x:c>
    </x:row>
    <x:row r="70" ht="189" customHeight="1">
      <x:c r="A70" s="35" t="str">
        <x:v>1e8df695-bd1b-45b3-b557-e7d599cf7597_HQ4</x:v>
      </x:c>
      <x:c r="B70" s="36" t="str">
        <x:v>SG_TASK_1e8df695-bd1b-45b3-b557-e7d599cf7597</x:v>
      </x:c>
      <x:c r="C70" s="36" t="str">
        <x:v>1e8df695-bd1b-45b3-b557-e7d599cf7597</x:v>
      </x:c>
      <x:c r="D70" s="36" t="str">
        <x:v>WeeklySales.xlsx</x:v>
      </x:c>
      <x:c r="E70" s="36" t="str">
        <x:v>single_memory</x:v>
      </x:c>
      <x:c r="F70" s="36" t="str">
        <x:v>low_overlap_paraphrase</x:v>
      </x:c>
      <x:c r="G70" s="36" t="str">
        <x:v>dev</x:v>
      </x:c>
      <x:c r="H70" s="36" t="str">
        <x:v>困难</x:v>
      </x:c>
      <x:c r="I70" s="36" t="str">
        <x:v>1e8df695-bd1b-45b3-b557-e7d599cf7597</x:v>
      </x:c>
      <x:c r="J70" s="36" t="str">
        <x:v>CTX_1e8df695-bd1b-45b3-b557-e7d599cf7597</x:v>
      </x:c>
      <x:c r="K70" s="36" t="str">
        <x:v>MTM_1e8df695-bd1b-45b3-b557-e7d599cf7597</x:v>
      </x:c>
      <x:c r="L70" s="36" t="str"/>
      <x:c r="M70" s="36" t="str">
        <x:v>MTM_12382c62-0cd1-4bf2-bdc8-1d20bf9b2371</x:v>
      </x:c>
      <x:c r="N70" s="36" t="str">
        <x:v>知识</x:v>
      </x:c>
      <x:c r="O70" s="36" t="str">
        <x:v>中期</x:v>
      </x:c>
      <x:c r="P70" s="36" t="str">
        <x:v>["libreoffice_calc"]</x:v>
      </x:c>
      <x:c r="Q70" s="36" t="str">
        <x:v>[{"step_id":"S1","app":"libreoffice_calc","action_key":"calculate_weekly_profit","input_artifacts":["WeeklySales.xlsx"],"output_artifacts":["WeeklySales.xlsx"],"depends_on":[]}]</x:v>
      </x:c>
      <x:c r="R70" s="36" t="str">
        <x:v>[]</x:v>
      </x:c>
      <x:c r="S70" s="36" t="str">
        <x:v>calculate_weekly_profit</x:v>
      </x:c>
      <x:c r="T70" s="36" t="str">
        <x:v>WeeklySales.xlsx</x:v>
      </x:c>
      <x:c r="U70" s="36" t="str">
        <x:v>retrieve_and_execute</x:v>
      </x:c>
      <x:c r="V70" s="36" t="str">
        <x:v>[{"point_id":"P1","description":"主要处理方式与预期动作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x:v>
      </x:c>
      <x:c r="W70" s="36" t="str">
        <x:v>1.00</x:v>
      </x:c>
      <x:c r="X70" s="39" t="str">
        <x:v>这份数据缺的是每周毛利，把收入和成本的差直接放到相邻新列里。</x:v>
      </x:c>
      <x:c r="Y70" s="39" t="str">
        <x:v>第1条记忆（中期/知识）：在 WeeklySales.xlsx 的 COGS 列右侧新增 Profit 列，并按每周 Sales 减去 COGS 计算利润。关键约束：Profit 紧邻 COGS；逐周计算 Sales-COGS；不创建图表。</x:v>
      </x:c>
      <x:c r="Z70" s="39" t="str">
        <x:v>不适用：当前题目不存在需要用户进一步选择的候选记忆。</x:v>
      </x:c>
      <x:c r="AA70" s="39" t="str">
        <x:v>第1条记忆（中期/可复用模板）：在 WeeklySales.xlsx 新建 Sheet2，为每周的 Sales 和 COGS 数据创建簇状柱形图，图表标题设为 Sales &amp; COGS。关键约束：图表放在 Sheet2；图表类型为簇状柱形图；标题必须为 Sales &amp; COGS。</x:v>
      </x:c>
      <x:c r="AB70" s="39" t="str">
        <x:v>应执行以下操作：在 WeeklySales.xlsx 的 COGS 列右侧新增 Profit 列，并按每周 Sales 减去 COGS 计算利润。</x:v>
      </x:c>
      <x:c r="AC70" s="39" t="str">
        <x:v>第1项实际操作：在 WeeklySales.xlsx 的 COGS 列右侧新增 Profit 列，并按每周 Sales 减去 COGS 计算利润。执行时必须满足：Profit 紧邻 COGS；逐周计算 Sales-COGS；不创建图表。</x:v>
      </x:c>
      <x:c r="AD70" s="39" t="str">
        <x:v>用户的完整请求是：“这份数据缺的是每周毛利，把收入和成本的差直接放到相邻新列里。”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x:v>
      </x:c>
      <x:c r="AE7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70" s="50" t="str">
        <x:v>not_pass</x:v>
      </x:c>
      <x:c r="AG70" s="50" t="n">
        <x:v>0</x:v>
      </x:c>
    </x:row>
    <x:row r="71" ht="189" customHeight="1">
      <x:c r="A71" s="35" t="str">
        <x:v>1e8df695-bd1b-45b3-b557-e7d599cf7597_HQ5</x:v>
      </x:c>
      <x:c r="B71" s="36" t="str">
        <x:v>SG_TASK_1e8df695-bd1b-45b3-b557-e7d599cf7597</x:v>
      </x:c>
      <x:c r="C71" s="36" t="str">
        <x:v>1e8df695-bd1b-45b3-b557-e7d599cf7597</x:v>
      </x:c>
      <x:c r="D71" s="36" t="str">
        <x:v>WeeklySales.xlsx</x:v>
      </x:c>
      <x:c r="E71" s="36" t="str">
        <x:v>single_memory</x:v>
      </x:c>
      <x:c r="F71" s="36" t="str">
        <x:v>human_constraint_emphasis</x:v>
      </x:c>
      <x:c r="G71" s="36" t="str">
        <x:v>dev</x:v>
      </x:c>
      <x:c r="H71" s="36" t="str">
        <x:v>困难</x:v>
      </x:c>
      <x:c r="I71" s="36" t="str">
        <x:v>1e8df695-bd1b-45b3-b557-e7d599cf7597</x:v>
      </x:c>
      <x:c r="J71" s="36" t="str">
        <x:v>CTX_1e8df695-bd1b-45b3-b557-e7d599cf7597</x:v>
      </x:c>
      <x:c r="K71" s="36" t="str">
        <x:v>MTM_1e8df695-bd1b-45b3-b557-e7d599cf7597</x:v>
      </x:c>
      <x:c r="L71" s="36" t="str"/>
      <x:c r="M71" s="36" t="str">
        <x:v>MTM_12382c62-0cd1-4bf2-bdc8-1d20bf9b2371</x:v>
      </x:c>
      <x:c r="N71" s="36" t="str">
        <x:v>知识</x:v>
      </x:c>
      <x:c r="O71" s="36" t="str">
        <x:v>中期</x:v>
      </x:c>
      <x:c r="P71" s="36" t="str">
        <x:v>["libreoffice_calc"]</x:v>
      </x:c>
      <x:c r="Q71" s="36" t="str">
        <x:v>[{"step_id":"S1","app":"libreoffice_calc","action_key":"calculate_weekly_profit","input_artifacts":["WeeklySales.xlsx"],"output_artifacts":["WeeklySales.xlsx"],"depends_on":[]}]</x:v>
      </x:c>
      <x:c r="R71" s="36" t="str">
        <x:v>[]</x:v>
      </x:c>
      <x:c r="S71" s="36" t="str">
        <x:v>calculate_weekly_profit</x:v>
      </x:c>
      <x:c r="T71" s="36" t="str">
        <x:v>WeeklySales.xlsx</x:v>
      </x:c>
      <x:c r="U71" s="36" t="str">
        <x:v>retrieve_and_execute</x:v>
      </x:c>
      <x:c r="V71" s="36" t="str">
        <x:v>[{"point_id":"P1","description":"主要处理方式与预期动作 calculate_weekly_profit 语义一致","weight":0.4,"evidence_memory_ids":["MTM_1e8df695-bd1b-45b3-b557-e7d599cf7597"]},{"point_id":"P2","description":"正确定位目标对象 WeeklySales.xlsx","weight":0.2,"evidence_memory_ids":["MTM_1e8df695-bd1b-45b3-b557-e7d599cf7597"]},{"point_id":"P3","description":"满足关键条件：Profit 紧邻 COGS；逐周计算 Sales-COGS；不创建图表","weight":0.3,"evidence_memory_ids":["MTM_1e8df695-bd1b-45b3-b557-e7d599cf7597"]},{"point_id":"P4","description":"不采用禁止记忆中的冲突方案","weight":0.1,"evidence_memory_ids":["MTM_1e8df695-bd1b-45b3-b557-e7d599cf7597","MTM_12382c62-0cd1-4bf2-bdc8-1d20bf9b2371"]}]</x:v>
      </x:c>
      <x:c r="W71" s="36" t="str">
        <x:v>1.00</x:v>
      </x:c>
      <x:c r="X71" s="39" t="str">
        <x:v>WeeklySales 这次是在 COGS 后加 Profit，公式还是 Sales-COGS，别做图表。</x:v>
      </x:c>
      <x:c r="Y71" s="39" t="str">
        <x:v>第1条记忆（中期/知识）：在 WeeklySales.xlsx 的 COGS 列右侧新增 Profit 列，并按每周 Sales 减去 COGS 计算利润。关键约束：Profit 紧邻 COGS；逐周计算 Sales-COGS；不创建图表。</x:v>
      </x:c>
      <x:c r="Z71" s="39" t="str">
        <x:v>不适用：当前题目不存在需要用户进一步选择的候选记忆。</x:v>
      </x:c>
      <x:c r="AA71" s="39" t="str">
        <x:v>第1条记忆（中期/可复用模板）：在 WeeklySales.xlsx 新建 Sheet2，为每周的 Sales 和 COGS 数据创建簇状柱形图，图表标题设为 Sales &amp; COGS。关键约束：图表放在 Sheet2；图表类型为簇状柱形图；标题必须为 Sales &amp; COGS。</x:v>
      </x:c>
      <x:c r="AB71" s="39" t="str">
        <x:v>应执行以下操作：在 WeeklySales.xlsx 的 COGS 列右侧新增 Profit 列，并按每周 Sales 减去 COGS 计算利润。</x:v>
      </x:c>
      <x:c r="AC71" s="39" t="str">
        <x:v>第1项实际操作：在 WeeklySales.xlsx 的 COGS 列右侧新增 Profit 列，并按每周 Sales 减去 COGS 计算利润。执行时必须满足：Profit 紧邻 COGS；逐周计算 Sales-COGS；不创建图表。</x:v>
      </x:c>
      <x:c r="AD71" s="39" t="str">
        <x:v>用户的完整请求是：“WeeklySales 这次是在 COGS 后加 Profit，公式还是 Sales-COGS，别做图表。” 第1个当前上下文：WeeklySales.xlsx 已在 LibreOffice Calc 中打开。 当前请求是在已有办公上下文中继续、复用或重新强调既有处理方式。与该请求唯一对应的完整必需记忆如下：
第1条记忆（中期/知识）：在 WeeklySales.xlsx 的 COGS 列右侧新增 Profit 列，并按每周 Sales 减去 COGS 计算利润。关键约束：Profit 紧邻 COGS；逐周计算 Sales-COGS；不创建图表。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WeeklySales.xlsx 的 COGS 列右侧新增 Profit 列，并按每周 Sales 减去 COGS 计算利润。”</x:v>
      </x:c>
      <x:c r="AE7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WeeklySales.xlsx 的 COGS 列右侧新增 Profit 列，并按每周 Sales 减去 COGS 计算利润。关键约束：Profit 紧邻 COGS；逐周计算 Sales-COGS；不创建图表。
第2个得分点（0.20分）：正确定位目标对象 WeeklySales.xlsx。该得分点所依据的完整证据为：
第1条记忆（中期/知识）：在 WeeklySales.xlsx 的 COGS 列右侧新增 Profit 列，并按每周 Sales 减去 COGS 计算利润。关键约束：Profit 紧邻 COGS；逐周计算 Sales-COGS；不创建图表。
第3个得分点（0.30分）：满足关键条件：Profit 紧邻 COGS；逐周计算 Sales-COGS；不创建图表。该得分点所依据的完整证据为：
第1条记忆（中期/知识）：在 WeeklySales.xlsx 的 COGS 列右侧新增 Profit 列，并按每周 Sales 减去 COGS 计算利润。关键约束：Profit 紧邻 COGS；逐周计算 Sales-COGS；不创建图表。
第4个得分点（0.10分）：不采用禁止记忆中的冲突方案。该得分点所依据的完整证据为：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71" s="50" t="str">
        <x:v>not_pass</x:v>
      </x:c>
      <x:c r="AG71" s="50" t="n">
        <x:v>0</x:v>
      </x:c>
    </x:row>
    <x:row r="72" ht="175.5" customHeight="1">
      <x:c r="A72" s="35" t="str">
        <x:v>21ab7b40-77c2-4ae6-8321-e00d3a086c73_HQ1</x:v>
      </x:c>
      <x:c r="B72" s="36" t="str">
        <x:v>SG_TASK_21ab7b40-77c2-4ae6-8321-e00d3a086c73</x:v>
      </x:c>
      <x:c r="C72" s="36" t="str">
        <x:v>21ab7b40-77c2-4ae6-8321-e00d3a086c73</x:v>
      </x:c>
      <x:c r="D72" s="36" t="str">
        <x:v>PeriodRate.xlsx</x:v>
      </x:c>
      <x:c r="E72" s="36" t="str">
        <x:v>single_memory</x:v>
      </x:c>
      <x:c r="F72" s="36" t="str">
        <x:v>human_context_explicit</x:v>
      </x:c>
      <x:c r="G72" s="36" t="str">
        <x:v>train</x:v>
      </x:c>
      <x:c r="H72" s="36" t="str">
        <x:v>简单</x:v>
      </x:c>
      <x:c r="I72" s="36" t="str">
        <x:v>21ab7b40-77c2-4ae6-8321-e00d3a086c73</x:v>
      </x:c>
      <x:c r="J72" s="36" t="str">
        <x:v>CTX_21ab7b40-77c2-4ae6-8321-e00d3a086c73</x:v>
      </x:c>
      <x:c r="K72" s="36" t="str">
        <x:v>LTM_21ab7b40-77c2-4ae6-8321-e00d3a086c73</x:v>
      </x:c>
      <x:c r="L72" s="36" t="str"/>
      <x:c r="M72" s="36" t="str"/>
      <x:c r="N72" s="36" t="str">
        <x:v>知识</x:v>
      </x:c>
      <x:c r="O72" s="36" t="str">
        <x:v>长期</x:v>
      </x:c>
      <x:c r="P72" s="36" t="str">
        <x:v>["libreoffice_calc"]</x:v>
      </x:c>
      <x:c r="Q72" s="36" t="str">
        <x:v>[{"step_id":"S1","app":"libreoffice_calc","action_key":"calculate_period_rate_and_highlight_max","input_artifacts":["PeriodRate.xlsx"],"output_artifacts":["PeriodRate.xlsx"],"depends_on":[]}]</x:v>
      </x:c>
      <x:c r="R72" s="36" t="str">
        <x:v>[]</x:v>
      </x:c>
      <x:c r="S72" s="36" t="str">
        <x:v>calculate_period_rate_and_highlight_max</x:v>
      </x:c>
      <x:c r="T72" s="36" t="str">
        <x:v>PeriodRate.xlsx</x:v>
      </x:c>
      <x:c r="U72" s="36" t="str">
        <x:v>retrieve_and_execute</x:v>
      </x:c>
      <x:c r="V72" s="36" t="str">
        <x:v>[{"point_id":"P1","description":"主要处理方式与预期动作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x:v>
      </x:c>
      <x:c r="W72" s="36" t="str">
        <x:v>1.00</x:v>
      </x:c>
      <x:c r="X72" s="39" t="str">
        <x:v>PeriodRate.xlsx 里的期间利率按之前的规则算到新列，最高那条用绿色字标出来。</x:v>
      </x:c>
      <x:c r="Y72" s="39" t="str">
        <x:v>第1条记忆（长期/知识）：在 PeriodRate.xlsx 新增 Period Rate (%) 列计算各行期间利率，将结果转换为数值类型，并把最高值的字体设为绿色 #00ff00。关键约束：列名为 Period Rate (%)；结果必须为数值；仅最高值使用绿色字体 #00ff00。</x:v>
      </x:c>
      <x:c r="Z72" s="39" t="str">
        <x:v>不适用：当前题目不存在需要用户进一步选择的候选记忆。</x:v>
      </x:c>
      <x:c r="AA72" s="39" t="str">
        <x:v>不适用：当前题目没有指定需要排除的冲突或禁止记忆。</x:v>
      </x:c>
      <x:c r="AB72" s="39" t="str">
        <x:v>应执行以下操作：在 PeriodRate.xlsx 新增 Period Rate (%) 列计算各行期间利率，将结果转换为数值类型，并把最高值的字体设为绿色 #00ff00。</x:v>
      </x:c>
      <x:c r="AC72" s="39" t="str">
        <x:v>第1项实际操作：在 PeriodRate.xlsx 新增 Period Rate (%) 列计算各行期间利率，将结果转换为数值类型，并把最高值的字体设为绿色 #00ff00。执行时必须满足：列名为 Period Rate (%)；结果必须为数值；仅最高值使用绿色字体 #00ff00。</x:v>
      </x:c>
      <x:c r="AD72" s="39" t="str">
        <x:v>用户的完整请求是：“PeriodRate.xlsx 里的期间利率按之前的规则算到新列，最高那条用绿色字标出来。”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x:v>
      </x:c>
      <x:c r="AE7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72" s="50" t="str">
        <x:v>not_pass</x:v>
      </x:c>
      <x:c r="AG72" s="50" t="n">
        <x:v>0</x:v>
      </x:c>
    </x:row>
    <x:row r="73" ht="175.5" customHeight="1">
      <x:c r="A73" s="35" t="str">
        <x:v>21ab7b40-77c2-4ae6-8321-e00d3a086c73_HQ2</x:v>
      </x:c>
      <x:c r="B73" s="36" t="str">
        <x:v>SG_TASK_21ab7b40-77c2-4ae6-8321-e00d3a086c73</x:v>
      </x:c>
      <x:c r="C73" s="36" t="str">
        <x:v>21ab7b40-77c2-4ae6-8321-e00d3a086c73</x:v>
      </x:c>
      <x:c r="D73" s="36" t="str">
        <x:v>PeriodRate.xlsx</x:v>
      </x:c>
      <x:c r="E73" s="36" t="str">
        <x:v>single_memory</x:v>
      </x:c>
      <x:c r="F73" s="36" t="str">
        <x:v>human_goal_oriented</x:v>
      </x:c>
      <x:c r="G73" s="36" t="str">
        <x:v>train</x:v>
      </x:c>
      <x:c r="H73" s="36" t="str">
        <x:v>中等</x:v>
      </x:c>
      <x:c r="I73" s="36" t="str">
        <x:v>21ab7b40-77c2-4ae6-8321-e00d3a086c73</x:v>
      </x:c>
      <x:c r="J73" s="36" t="str">
        <x:v>CTX_21ab7b40-77c2-4ae6-8321-e00d3a086c73</x:v>
      </x:c>
      <x:c r="K73" s="36" t="str">
        <x:v>LTM_21ab7b40-77c2-4ae6-8321-e00d3a086c73</x:v>
      </x:c>
      <x:c r="L73" s="36" t="str"/>
      <x:c r="M73" s="36" t="str"/>
      <x:c r="N73" s="36" t="str">
        <x:v>知识</x:v>
      </x:c>
      <x:c r="O73" s="36" t="str">
        <x:v>长期</x:v>
      </x:c>
      <x:c r="P73" s="36" t="str">
        <x:v>["libreoffice_calc"]</x:v>
      </x:c>
      <x:c r="Q73" s="36" t="str">
        <x:v>[{"step_id":"S1","app":"libreoffice_calc","action_key":"calculate_period_rate_and_highlight_max","input_artifacts":["PeriodRate.xlsx"],"output_artifacts":["PeriodRate.xlsx"],"depends_on":[]}]</x:v>
      </x:c>
      <x:c r="R73" s="36" t="str">
        <x:v>[]</x:v>
      </x:c>
      <x:c r="S73" s="36" t="str">
        <x:v>calculate_period_rate_and_highlight_max</x:v>
      </x:c>
      <x:c r="T73" s="36" t="str">
        <x:v>PeriodRate.xlsx</x:v>
      </x:c>
      <x:c r="U73" s="36" t="str">
        <x:v>retrieve_and_execute</x:v>
      </x:c>
      <x:c r="V73" s="36" t="str">
        <x:v>[{"point_id":"P1","description":"主要处理方式与预期动作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x:v>
      </x:c>
      <x:c r="W73" s="36" t="str">
        <x:v>1.00</x:v>
      </x:c>
      <x:c r="X73" s="39" t="str">
        <x:v>我想找出这批数据里最大的 period rate，先把每行利率算成数值，再把最高值高亮。</x:v>
      </x:c>
      <x:c r="Y73" s="39" t="str">
        <x:v>第1条记忆（长期/知识）：在 PeriodRate.xlsx 新增 Period Rate (%) 列计算各行期间利率，将结果转换为数值类型，并把最高值的字体设为绿色 #00ff00。关键约束：列名为 Period Rate (%)；结果必须为数值；仅最高值使用绿色字体 #00ff00。</x:v>
      </x:c>
      <x:c r="Z73" s="39" t="str">
        <x:v>不适用：当前题目不存在需要用户进一步选择的候选记忆。</x:v>
      </x:c>
      <x:c r="AA73" s="39" t="str">
        <x:v>不适用：当前题目没有指定需要排除的冲突或禁止记忆。</x:v>
      </x:c>
      <x:c r="AB73" s="39" t="str">
        <x:v>应执行以下操作：在 PeriodRate.xlsx 新增 Period Rate (%) 列计算各行期间利率，将结果转换为数值类型，并把最高值的字体设为绿色 #00ff00。</x:v>
      </x:c>
      <x:c r="AC73" s="39" t="str">
        <x:v>第1项实际操作：在 PeriodRate.xlsx 新增 Period Rate (%) 列计算各行期间利率，将结果转换为数值类型，并把最高值的字体设为绿色 #00ff00。执行时必须满足：列名为 Period Rate (%)；结果必须为数值；仅最高值使用绿色字体 #00ff00。</x:v>
      </x:c>
      <x:c r="AD73" s="39" t="str">
        <x:v>用户的完整请求是：“我想找出这批数据里最大的 period rate，先把每行利率算成数值，再把最高值高亮。”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x:v>
      </x:c>
      <x:c r="AE7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73" s="50" t="str">
        <x:v>not_pass</x:v>
      </x:c>
      <x:c r="AG73" s="50" t="n">
        <x:v>0</x:v>
      </x:c>
    </x:row>
    <x:row r="74" ht="175.5" customHeight="1">
      <x:c r="A74" s="35" t="str">
        <x:v>21ab7b40-77c2-4ae6-8321-e00d3a086c73_HQ3</x:v>
      </x:c>
      <x:c r="B74" s="36" t="str">
        <x:v>SG_TASK_21ab7b40-77c2-4ae6-8321-e00d3a086c73</x:v>
      </x:c>
      <x:c r="C74" s="36" t="str">
        <x:v>21ab7b40-77c2-4ae6-8321-e00d3a086c73</x:v>
      </x:c>
      <x:c r="D74" s="36" t="str">
        <x:v>PeriodRate.xlsx</x:v>
      </x:c>
      <x:c r="E74" s="36" t="str">
        <x:v>single_memory</x:v>
      </x:c>
      <x:c r="F74" s="36" t="str">
        <x:v>contextual_ellipsis</x:v>
      </x:c>
      <x:c r="G74" s="36" t="str">
        <x:v>train</x:v>
      </x:c>
      <x:c r="H74" s="36" t="str">
        <x:v>中等</x:v>
      </x:c>
      <x:c r="I74" s="36" t="str">
        <x:v>21ab7b40-77c2-4ae6-8321-e00d3a086c73</x:v>
      </x:c>
      <x:c r="J74" s="36" t="str">
        <x:v>CTX_21ab7b40-77c2-4ae6-8321-e00d3a086c73</x:v>
      </x:c>
      <x:c r="K74" s="36" t="str">
        <x:v>LTM_21ab7b40-77c2-4ae6-8321-e00d3a086c73</x:v>
      </x:c>
      <x:c r="L74" s="36" t="str"/>
      <x:c r="M74" s="36" t="str"/>
      <x:c r="N74" s="36" t="str">
        <x:v>知识</x:v>
      </x:c>
      <x:c r="O74" s="36" t="str">
        <x:v>长期</x:v>
      </x:c>
      <x:c r="P74" s="36" t="str">
        <x:v>["libreoffice_calc"]</x:v>
      </x:c>
      <x:c r="Q74" s="36" t="str">
        <x:v>[{"step_id":"S1","app":"libreoffice_calc","action_key":"calculate_period_rate_and_highlight_max","input_artifacts":["PeriodRate.xlsx"],"output_artifacts":["PeriodRate.xlsx"],"depends_on":[]}]</x:v>
      </x:c>
      <x:c r="R74" s="36" t="str">
        <x:v>[]</x:v>
      </x:c>
      <x:c r="S74" s="36" t="str">
        <x:v>calculate_period_rate_and_highlight_max</x:v>
      </x:c>
      <x:c r="T74" s="36" t="str">
        <x:v>PeriodRate.xlsx</x:v>
      </x:c>
      <x:c r="U74" s="36" t="str">
        <x:v>retrieve_and_execute</x:v>
      </x:c>
      <x:c r="V74" s="36" t="str">
        <x:v>[{"point_id":"P1","description":"主要处理方式与预期动作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x:v>
      </x:c>
      <x:c r="W74" s="36" t="str">
        <x:v>1.00</x:v>
      </x:c>
      <x:c r="X74" s="39" t="str">
        <x:v>当前表继续补 Period Rate (%)，结果别留成文本，最大值字体用绿色。</x:v>
      </x:c>
      <x:c r="Y74" s="39" t="str">
        <x:v>第1条记忆（长期/知识）：在 PeriodRate.xlsx 新增 Period Rate (%) 列计算各行期间利率，将结果转换为数值类型，并把最高值的字体设为绿色 #00ff00。关键约束：列名为 Period Rate (%)；结果必须为数值；仅最高值使用绿色字体 #00ff00。</x:v>
      </x:c>
      <x:c r="Z74" s="39" t="str">
        <x:v>不适用：当前题目不存在需要用户进一步选择的候选记忆。</x:v>
      </x:c>
      <x:c r="AA74" s="39" t="str">
        <x:v>不适用：当前题目没有指定需要排除的冲突或禁止记忆。</x:v>
      </x:c>
      <x:c r="AB74" s="39" t="str">
        <x:v>应执行以下操作：在 PeriodRate.xlsx 新增 Period Rate (%) 列计算各行期间利率，将结果转换为数值类型，并把最高值的字体设为绿色 #00ff00。</x:v>
      </x:c>
      <x:c r="AC74" s="39" t="str">
        <x:v>第1项实际操作：在 PeriodRate.xlsx 新增 Period Rate (%) 列计算各行期间利率，将结果转换为数值类型，并把最高值的字体设为绿色 #00ff00。执行时必须满足：列名为 Period Rate (%)；结果必须为数值；仅最高值使用绿色字体 #00ff00。</x:v>
      </x:c>
      <x:c r="AD74" s="39" t="str">
        <x:v>用户的完整请求是：“当前表继续补 Period Rate (%)，结果别留成文本，最大值字体用绿色。”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x:v>
      </x:c>
      <x:c r="AE7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74" s="50" t="str">
        <x:v>not_pass</x:v>
      </x:c>
      <x:c r="AG74" s="50" t="n">
        <x:v>0</x:v>
      </x:c>
    </x:row>
    <x:row r="75" ht="175.5" customHeight="1">
      <x:c r="A75" s="35" t="str">
        <x:v>21ab7b40-77c2-4ae6-8321-e00d3a086c73_HQ4</x:v>
      </x:c>
      <x:c r="B75" s="36" t="str">
        <x:v>SG_TASK_21ab7b40-77c2-4ae6-8321-e00d3a086c73</x:v>
      </x:c>
      <x:c r="C75" s="36" t="str">
        <x:v>21ab7b40-77c2-4ae6-8321-e00d3a086c73</x:v>
      </x:c>
      <x:c r="D75" s="36" t="str">
        <x:v>PeriodRate.xlsx</x:v>
      </x:c>
      <x:c r="E75" s="36" t="str">
        <x:v>single_memory</x:v>
      </x:c>
      <x:c r="F75" s="36" t="str">
        <x:v>low_overlap_paraphrase</x:v>
      </x:c>
      <x:c r="G75" s="36" t="str">
        <x:v>train</x:v>
      </x:c>
      <x:c r="H75" s="36" t="str">
        <x:v>困难</x:v>
      </x:c>
      <x:c r="I75" s="36" t="str">
        <x:v>21ab7b40-77c2-4ae6-8321-e00d3a086c73</x:v>
      </x:c>
      <x:c r="J75" s="36" t="str">
        <x:v>CTX_21ab7b40-77c2-4ae6-8321-e00d3a086c73</x:v>
      </x:c>
      <x:c r="K75" s="36" t="str">
        <x:v>LTM_21ab7b40-77c2-4ae6-8321-e00d3a086c73</x:v>
      </x:c>
      <x:c r="L75" s="36" t="str"/>
      <x:c r="M75" s="36" t="str"/>
      <x:c r="N75" s="36" t="str">
        <x:v>知识</x:v>
      </x:c>
      <x:c r="O75" s="36" t="str">
        <x:v>长期</x:v>
      </x:c>
      <x:c r="P75" s="36" t="str">
        <x:v>["libreoffice_calc"]</x:v>
      </x:c>
      <x:c r="Q75" s="36" t="str">
        <x:v>[{"step_id":"S1","app":"libreoffice_calc","action_key":"calculate_period_rate_and_highlight_max","input_artifacts":["PeriodRate.xlsx"],"output_artifacts":["PeriodRate.xlsx"],"depends_on":[]}]</x:v>
      </x:c>
      <x:c r="R75" s="36" t="str">
        <x:v>[]</x:v>
      </x:c>
      <x:c r="S75" s="36" t="str">
        <x:v>calculate_period_rate_and_highlight_max</x:v>
      </x:c>
      <x:c r="T75" s="36" t="str">
        <x:v>PeriodRate.xlsx</x:v>
      </x:c>
      <x:c r="U75" s="36" t="str">
        <x:v>retrieve_and_execute</x:v>
      </x:c>
      <x:c r="V75" s="36" t="str">
        <x:v>[{"point_id":"P1","description":"主要处理方式与预期动作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x:v>
      </x:c>
      <x:c r="W75" s="36" t="str">
        <x:v>1.00</x:v>
      </x:c>
      <x:c r="X75" s="39" t="str">
        <x:v>为了快速看到最优结果，请把期间收益比例算完，并只标记排名第一的那一个。</x:v>
      </x:c>
      <x:c r="Y75" s="39" t="str">
        <x:v>第1条记忆（长期/知识）：在 PeriodRate.xlsx 新增 Period Rate (%) 列计算各行期间利率，将结果转换为数值类型，并把最高值的字体设为绿色 #00ff00。关键约束：列名为 Period Rate (%)；结果必须为数值；仅最高值使用绿色字体 #00ff00。</x:v>
      </x:c>
      <x:c r="Z75" s="39" t="str">
        <x:v>不适用：当前题目不存在需要用户进一步选择的候选记忆。</x:v>
      </x:c>
      <x:c r="AA75" s="39" t="str">
        <x:v>不适用：当前题目没有指定需要排除的冲突或禁止记忆。</x:v>
      </x:c>
      <x:c r="AB75" s="39" t="str">
        <x:v>应执行以下操作：在 PeriodRate.xlsx 新增 Period Rate (%) 列计算各行期间利率，将结果转换为数值类型，并把最高值的字体设为绿色 #00ff00。</x:v>
      </x:c>
      <x:c r="AC75" s="39" t="str">
        <x:v>第1项实际操作：在 PeriodRate.xlsx 新增 Period Rate (%) 列计算各行期间利率，将结果转换为数值类型，并把最高值的字体设为绿色 #00ff00。执行时必须满足：列名为 Period Rate (%)；结果必须为数值；仅最高值使用绿色字体 #00ff00。</x:v>
      </x:c>
      <x:c r="AD75" s="39" t="str">
        <x:v>用户的完整请求是：“为了快速看到最优结果，请把期间收益比例算完，并只标记排名第一的那一个。”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x:v>
      </x:c>
      <x:c r="AE7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75" s="50" t="str">
        <x:v>not_pass</x:v>
      </x:c>
      <x:c r="AG75" s="50" t="n">
        <x:v>0</x:v>
      </x:c>
    </x:row>
    <x:row r="76" ht="175.5" customHeight="1">
      <x:c r="A76" s="35" t="str">
        <x:v>21ab7b40-77c2-4ae6-8321-e00d3a086c73_HQ5</x:v>
      </x:c>
      <x:c r="B76" s="36" t="str">
        <x:v>SG_TASK_21ab7b40-77c2-4ae6-8321-e00d3a086c73</x:v>
      </x:c>
      <x:c r="C76" s="36" t="str">
        <x:v>21ab7b40-77c2-4ae6-8321-e00d3a086c73</x:v>
      </x:c>
      <x:c r="D76" s="36" t="str">
        <x:v>PeriodRate.xlsx</x:v>
      </x:c>
      <x:c r="E76" s="36" t="str">
        <x:v>single_memory</x:v>
      </x:c>
      <x:c r="F76" s="36" t="str">
        <x:v>human_constraint_emphasis</x:v>
      </x:c>
      <x:c r="G76" s="36" t="str">
        <x:v>train</x:v>
      </x:c>
      <x:c r="H76" s="36" t="str">
        <x:v>困难</x:v>
      </x:c>
      <x:c r="I76" s="36" t="str">
        <x:v>21ab7b40-77c2-4ae6-8321-e00d3a086c73</x:v>
      </x:c>
      <x:c r="J76" s="36" t="str">
        <x:v>CTX_21ab7b40-77c2-4ae6-8321-e00d3a086c73</x:v>
      </x:c>
      <x:c r="K76" s="36" t="str">
        <x:v>LTM_21ab7b40-77c2-4ae6-8321-e00d3a086c73</x:v>
      </x:c>
      <x:c r="L76" s="36" t="str"/>
      <x:c r="M76" s="36" t="str"/>
      <x:c r="N76" s="36" t="str">
        <x:v>知识</x:v>
      </x:c>
      <x:c r="O76" s="36" t="str">
        <x:v>长期</x:v>
      </x:c>
      <x:c r="P76" s="36" t="str">
        <x:v>["libreoffice_calc"]</x:v>
      </x:c>
      <x:c r="Q76" s="36" t="str">
        <x:v>[{"step_id":"S1","app":"libreoffice_calc","action_key":"calculate_period_rate_and_highlight_max","input_artifacts":["PeriodRate.xlsx"],"output_artifacts":["PeriodRate.xlsx"],"depends_on":[]}]</x:v>
      </x:c>
      <x:c r="R76" s="36" t="str">
        <x:v>[]</x:v>
      </x:c>
      <x:c r="S76" s="36" t="str">
        <x:v>calculate_period_rate_and_highlight_max</x:v>
      </x:c>
      <x:c r="T76" s="36" t="str">
        <x:v>PeriodRate.xlsx</x:v>
      </x:c>
      <x:c r="U76" s="36" t="str">
        <x:v>retrieve_and_execute</x:v>
      </x:c>
      <x:c r="V76" s="36" t="str">
        <x:v>[{"point_id":"P1","description":"主要处理方式与预期动作 calculate_period_rate_and_highlight_max 语义一致","weight":0.4,"evidence_memory_ids":["LTM_21ab7b40-77c2-4ae6-8321-e00d3a086c73"]},{"point_id":"P2","description":"正确定位目标对象 PeriodRate.xlsx","weight":0.2,"evidence_memory_ids":["LTM_21ab7b40-77c2-4ae6-8321-e00d3a086c73"]},{"point_id":"P3","description":"满足关键条件：列名为 Period Rate (%)；结果必须为数值；仅最高值使用绿色字体 #00ff00","weight":0.3,"evidence_memory_ids":["LTM_21ab7b40-77c2-4ae6-8321-e00d3a086c73"]},{"point_id":"P4","description":"不增加无记忆证据支持的操作","weight":0.1,"evidence_memory_ids":["LTM_21ab7b40-77c2-4ae6-8321-e00d3a086c73"]}]</x:v>
      </x:c>
      <x:c r="W76" s="36" t="str">
        <x:v>1.00</x:v>
      </x:c>
      <x:c r="X76" s="39" t="str">
        <x:v>新列名还是 Period Rate (%)，转成 number 后把最高值设为 #00ff00，其他格式别乱动。</x:v>
      </x:c>
      <x:c r="Y76" s="39" t="str">
        <x:v>第1条记忆（长期/知识）：在 PeriodRate.xlsx 新增 Period Rate (%) 列计算各行期间利率，将结果转换为数值类型，并把最高值的字体设为绿色 #00ff00。关键约束：列名为 Period Rate (%)；结果必须为数值；仅最高值使用绿色字体 #00ff00。</x:v>
      </x:c>
      <x:c r="Z76" s="39" t="str">
        <x:v>不适用：当前题目不存在需要用户进一步选择的候选记忆。</x:v>
      </x:c>
      <x:c r="AA76" s="39" t="str">
        <x:v>不适用：当前题目没有指定需要排除的冲突或禁止记忆。</x:v>
      </x:c>
      <x:c r="AB76" s="39" t="str">
        <x:v>应执行以下操作：在 PeriodRate.xlsx 新增 Period Rate (%) 列计算各行期间利率，将结果转换为数值类型，并把最高值的字体设为绿色 #00ff00。</x:v>
      </x:c>
      <x:c r="AC76" s="39" t="str">
        <x:v>第1项实际操作：在 PeriodRate.xlsx 新增 Period Rate (%) 列计算各行期间利率，将结果转换为数值类型，并把最高值的字体设为绿色 #00ff00。执行时必须满足：列名为 Period Rate (%)；结果必须为数值；仅最高值使用绿色字体 #00ff00。</x:v>
      </x:c>
      <x:c r="AD76" s="39" t="str">
        <x:v>用户的完整请求是：“新列名还是 Period Rate (%)，转成 number 后把最高值设为 #00ff00，其他格式别乱动。” 第1个当前上下文：PeriodRate.xlsx 已在 LibreOffice Calc 中打开。 当前请求是在已有办公上下文中继续、复用或重新强调既有处理方式。与该请求唯一对应的完整必需记忆如下：
第1条记忆（长期/知识）：在 PeriodRate.xlsx 新增 Period Rate (%) 列计算各行期间利率，将结果转换为数值类型，并把最高值的字体设为绿色 #00ff00。关键约束：列名为 Period Rate (%)；结果必须为数值；仅最高值使用绿色字体 #00ff00。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PeriodRate.xlsx 新增 Period Rate (%) 列计算各行期间利率，将结果转换为数值类型，并把最高值的字体设为绿色 #00ff00。”</x:v>
      </x:c>
      <x:c r="AE7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第2个得分点（0.20分）：正确定位目标对象 PeriodRate.xlsx。该得分点所依据的完整证据为：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第3个得分点（0.30分）：满足关键条件：列名为 Period Rate (%)；结果必须为数值；仅最高值使用绿色字体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第4个得分点（0.10分）：不增加无记忆证据支持的操作。该得分点所依据的完整证据为：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76" s="50" t="str">
        <x:v>not_pass</x:v>
      </x:c>
      <x:c r="AG76" s="50" t="n">
        <x:v>0</x:v>
      </x:c>
    </x:row>
    <x:row r="77" ht="202.5" customHeight="1">
      <x:c r="A77" s="35" t="str">
        <x:v>21df9241-f8d7-4509-b7f1-37e501a823f7_HQ1</x:v>
      </x:c>
      <x:c r="B77" s="36" t="str">
        <x:v>SG_TASK_21df9241-f8d7-4509-b7f1-37e501a823f7</x:v>
      </x:c>
      <x:c r="C77" s="36" t="str">
        <x:v>21df9241-f8d7-4509-b7f1-37e501a823f7</x:v>
      </x:c>
      <x:c r="D77" s="36" t="str">
        <x:v>Represent_in_millions_billions.xlsx</x:v>
      </x:c>
      <x:c r="E77" s="36" t="str">
        <x:v>single_memory</x:v>
      </x:c>
      <x:c r="F77" s="36" t="str">
        <x:v>human_context_explicit</x:v>
      </x:c>
      <x:c r="G77" s="36" t="str">
        <x:v>train</x:v>
      </x:c>
      <x:c r="H77" s="36" t="str">
        <x:v>简单</x:v>
      </x:c>
      <x:c r="I77" s="36" t="str">
        <x:v>21df9241-f8d7-4509-b7f1-37e501a823f7</x:v>
      </x:c>
      <x:c r="J77" s="36" t="str">
        <x:v>CTX_21df9241-f8d7-4509-b7f1-37e501a823f7</x:v>
      </x:c>
      <x:c r="K77" s="36" t="str">
        <x:v>STM_21df9241-f8d7-4509-b7f1-37e501a823f7</x:v>
      </x:c>
      <x:c r="L77" s="36" t="str"/>
      <x:c r="M77" s="36" t="str"/>
      <x:c r="N77" s="36" t="str">
        <x:v>工作流程</x:v>
      </x:c>
      <x:c r="O77" s="36" t="str">
        <x:v>短期</x:v>
      </x:c>
      <x:c r="P77" s="36" t="str">
        <x:v>["libreoffice_calc"]</x:v>
      </x:c>
      <x:c r="Q77" s="36" t="str">
        <x:v>[{"step_id":"S1","app":"libreoffice_calc","action_key":"format_values_in_millions_and_billions","input_artifacts":["Represent_in_millions_billions.xlsx"],"output_artifacts":["[\"Represent_in_millions_billions.xlsx\",\"Represent_in_millions_billions-Sheet1.csv\"]"],"depends_on":[]}]</x:v>
      </x:c>
      <x:c r="R77" s="36" t="str">
        <x:v>[]</x:v>
      </x:c>
      <x:c r="S77" s="36" t="str">
        <x:v>format_values_in_millions_and_billions</x:v>
      </x:c>
      <x:c r="T77" s="36" t="str">
        <x:v>Represent_in_millions_billions.xlsx</x:v>
      </x:c>
      <x:c r="U77" s="36" t="str">
        <x:v>retrieve_and_execute</x:v>
      </x:c>
      <x:c r="V77" s="36" t="str">
        <x:v>[{"point_id":"P1","description":"主要处理方式与预期动作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x:v>
      </x:c>
      <x:c r="W77" s="36" t="str">
        <x:v>1.00</x:v>
      </x:c>
      <x:c r="X77" s="39" t="str">
        <x:v>Represent_in_millions_billions.xlsx 的参数按上次的 M/B 展示格式处理，B列百万、C列十亿。</x:v>
      </x:c>
      <x:c r="Y77"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x:v>
      </x:c>
      <x:c r="Z77" s="39" t="str">
        <x:v>不适用：当前题目不存在需要用户进一步选择的候选记忆。</x:v>
      </x:c>
      <x:c r="AA77" s="39" t="str">
        <x:v>不适用：当前题目没有指定需要排除的冲突或禁止记忆。</x:v>
      </x:c>
      <x:c r="AB77" s="39" t="str">
        <x:v>应执行以下操作：在 Represent_in_millions_billions.xlsx 中，将 Parameter 数值分别在 B 列显示为 Millions (M)、在 C 列显示为 Billions (B)，保留一位小数并按四舍五入规则处理，数字与单位之间留一个空格。</x:v>
      </x:c>
      <x:c r="AC77"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x:v>
      </x:c>
      <x:c r="AD77" s="39" t="str">
        <x:v>用户的完整请求是：“Represent_in_millions_billions.xlsx 的参数按上次的 M/B 展示格式处理，B列百万、C列十亿。”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x:v>
      </x:c>
      <x:c r="AE7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x:v>
      </x:c>
      <x:c r="AF77" s="50" t="str">
        <x:v>not_pass</x:v>
      </x:c>
      <x:c r="AG77" s="50" t="n">
        <x:v>0</x:v>
      </x:c>
    </x:row>
    <x:row r="78" ht="202.5" customHeight="1">
      <x:c r="A78" s="35" t="str">
        <x:v>21df9241-f8d7-4509-b7f1-37e501a823f7_HQ2</x:v>
      </x:c>
      <x:c r="B78" s="36" t="str">
        <x:v>SG_TASK_21df9241-f8d7-4509-b7f1-37e501a823f7</x:v>
      </x:c>
      <x:c r="C78" s="36" t="str">
        <x:v>21df9241-f8d7-4509-b7f1-37e501a823f7</x:v>
      </x:c>
      <x:c r="D78" s="36" t="str">
        <x:v>Represent_in_millions_billions.xlsx</x:v>
      </x:c>
      <x:c r="E78" s="36" t="str">
        <x:v>single_memory</x:v>
      </x:c>
      <x:c r="F78" s="36" t="str">
        <x:v>human_goal_oriented</x:v>
      </x:c>
      <x:c r="G78" s="36" t="str">
        <x:v>train</x:v>
      </x:c>
      <x:c r="H78" s="36" t="str">
        <x:v>中等</x:v>
      </x:c>
      <x:c r="I78" s="36" t="str">
        <x:v>21df9241-f8d7-4509-b7f1-37e501a823f7</x:v>
      </x:c>
      <x:c r="J78" s="36" t="str">
        <x:v>CTX_21df9241-f8d7-4509-b7f1-37e501a823f7</x:v>
      </x:c>
      <x:c r="K78" s="36" t="str">
        <x:v>STM_21df9241-f8d7-4509-b7f1-37e501a823f7</x:v>
      </x:c>
      <x:c r="L78" s="36" t="str"/>
      <x:c r="M78" s="36" t="str"/>
      <x:c r="N78" s="36" t="str">
        <x:v>工作流程</x:v>
      </x:c>
      <x:c r="O78" s="36" t="str">
        <x:v>短期</x:v>
      </x:c>
      <x:c r="P78" s="36" t="str">
        <x:v>["libreoffice_calc"]</x:v>
      </x:c>
      <x:c r="Q78" s="36" t="str">
        <x:v>[{"step_id":"S1","app":"libreoffice_calc","action_key":"format_values_in_millions_and_billions","input_artifacts":["Represent_in_millions_billions.xlsx"],"output_artifacts":["[\"Represent_in_millions_billions.xlsx\",\"Represent_in_millions_billions-Sheet1.csv\"]"],"depends_on":[]}]</x:v>
      </x:c>
      <x:c r="R78" s="36" t="str">
        <x:v>[]</x:v>
      </x:c>
      <x:c r="S78" s="36" t="str">
        <x:v>format_values_in_millions_and_billions</x:v>
      </x:c>
      <x:c r="T78" s="36" t="str">
        <x:v>Represent_in_millions_billions.xlsx</x:v>
      </x:c>
      <x:c r="U78" s="36" t="str">
        <x:v>retrieve_and_execute</x:v>
      </x:c>
      <x:c r="V78" s="36" t="str">
        <x:v>[{"point_id":"P1","description":"主要处理方式与预期动作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x:v>
      </x:c>
      <x:c r="W78" s="36" t="str">
        <x:v>1.00</x:v>
      </x:c>
      <x:c r="X78" s="39" t="str">
        <x:v>这批数太长不好读，帮我分别换成百万和十亿单位，留一位小数，数字后面空一格再写单位。</x:v>
      </x:c>
      <x:c r="Y78"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x:v>
      </x:c>
      <x:c r="Z78" s="39" t="str">
        <x:v>不适用：当前题目不存在需要用户进一步选择的候选记忆。</x:v>
      </x:c>
      <x:c r="AA78" s="39" t="str">
        <x:v>不适用：当前题目没有指定需要排除的冲突或禁止记忆。</x:v>
      </x:c>
      <x:c r="AB78" s="39" t="str">
        <x:v>应执行以下操作：在 Represent_in_millions_billions.xlsx 中，将 Parameter 数值分别在 B 列显示为 Millions (M)、在 C 列显示为 Billions (B)，保留一位小数并按四舍五入规则处理，数字与单位之间留一个空格。</x:v>
      </x:c>
      <x:c r="AC78"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x:v>
      </x:c>
      <x:c r="AD78" s="39" t="str">
        <x:v>用户的完整请求是：“这批数太长不好读，帮我分别换成百万和十亿单位，留一位小数，数字后面空一格再写单位。”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x:v>
      </x:c>
      <x:c r="AE7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x:v>
      </x:c>
      <x:c r="AF78" s="50" t="str">
        <x:v>not_pass</x:v>
      </x:c>
      <x:c r="AG78" s="50" t="n">
        <x:v>0</x:v>
      </x:c>
    </x:row>
    <x:row r="79" ht="202.5" customHeight="1">
      <x:c r="A79" s="35" t="str">
        <x:v>21df9241-f8d7-4509-b7f1-37e501a823f7_HQ3</x:v>
      </x:c>
      <x:c r="B79" s="36" t="str">
        <x:v>SG_TASK_21df9241-f8d7-4509-b7f1-37e501a823f7</x:v>
      </x:c>
      <x:c r="C79" s="36" t="str">
        <x:v>21df9241-f8d7-4509-b7f1-37e501a823f7</x:v>
      </x:c>
      <x:c r="D79" s="36" t="str">
        <x:v>Represent_in_millions_billions.xlsx</x:v>
      </x:c>
      <x:c r="E79" s="36" t="str">
        <x:v>single_memory</x:v>
      </x:c>
      <x:c r="F79" s="36" t="str">
        <x:v>contextual_ellipsis</x:v>
      </x:c>
      <x:c r="G79" s="36" t="str">
        <x:v>train</x:v>
      </x:c>
      <x:c r="H79" s="36" t="str">
        <x:v>中等</x:v>
      </x:c>
      <x:c r="I79" s="36" t="str">
        <x:v>21df9241-f8d7-4509-b7f1-37e501a823f7</x:v>
      </x:c>
      <x:c r="J79" s="36" t="str">
        <x:v>CTX_21df9241-f8d7-4509-b7f1-37e501a823f7</x:v>
      </x:c>
      <x:c r="K79" s="36" t="str">
        <x:v>STM_21df9241-f8d7-4509-b7f1-37e501a823f7</x:v>
      </x:c>
      <x:c r="L79" s="36" t="str"/>
      <x:c r="M79" s="36" t="str"/>
      <x:c r="N79" s="36" t="str">
        <x:v>工作流程</x:v>
      </x:c>
      <x:c r="O79" s="36" t="str">
        <x:v>短期</x:v>
      </x:c>
      <x:c r="P79" s="36" t="str">
        <x:v>["libreoffice_calc"]</x:v>
      </x:c>
      <x:c r="Q79" s="36" t="str">
        <x:v>[{"step_id":"S1","app":"libreoffice_calc","action_key":"format_values_in_millions_and_billions","input_artifacts":["Represent_in_millions_billions.xlsx"],"output_artifacts":["[\"Represent_in_millions_billions.xlsx\",\"Represent_in_millions_billions-Sheet1.csv\"]"],"depends_on":[]}]</x:v>
      </x:c>
      <x:c r="R79" s="36" t="str">
        <x:v>[]</x:v>
      </x:c>
      <x:c r="S79" s="36" t="str">
        <x:v>format_values_in_millions_and_billions</x:v>
      </x:c>
      <x:c r="T79" s="36" t="str">
        <x:v>Represent_in_millions_billions.xlsx</x:v>
      </x:c>
      <x:c r="U79" s="36" t="str">
        <x:v>retrieve_and_execute</x:v>
      </x:c>
      <x:c r="V79" s="36" t="str">
        <x:v>[{"point_id":"P1","description":"主要处理方式与预期动作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x:v>
      </x:c>
      <x:c r="W79" s="36" t="str">
        <x:v>1.00</x:v>
      </x:c>
      <x:c r="X79" s="39" t="str">
        <x:v>当前表继续做单位缩写显示，B 用 M、C 用 B，舍入规则照之前的。</x:v>
      </x:c>
      <x:c r="Y79"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x:v>
      </x:c>
      <x:c r="Z79" s="39" t="str">
        <x:v>不适用：当前题目不存在需要用户进一步选择的候选记忆。</x:v>
      </x:c>
      <x:c r="AA79" s="39" t="str">
        <x:v>不适用：当前题目没有指定需要排除的冲突或禁止记忆。</x:v>
      </x:c>
      <x:c r="AB79" s="39" t="str">
        <x:v>应执行以下操作：在 Represent_in_millions_billions.xlsx 中，将 Parameter 数值分别在 B 列显示为 Millions (M)、在 C 列显示为 Billions (B)，保留一位小数并按四舍五入规则处理，数字与单位之间留一个空格。</x:v>
      </x:c>
      <x:c r="AC79"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x:v>
      </x:c>
      <x:c r="AD79" s="39" t="str">
        <x:v>用户的完整请求是：“当前表继续做单位缩写显示，B 用 M、C 用 B，舍入规则照之前的。”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x:v>
      </x:c>
      <x:c r="AE7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x:v>
      </x:c>
      <x:c r="AF79" s="50" t="str">
        <x:v>not_pass</x:v>
      </x:c>
      <x:c r="AG79" s="50" t="n">
        <x:v>0</x:v>
      </x:c>
    </x:row>
    <x:row r="80" ht="202.5" customHeight="1">
      <x:c r="A80" s="35" t="str">
        <x:v>21df9241-f8d7-4509-b7f1-37e501a823f7_HQ4</x:v>
      </x:c>
      <x:c r="B80" s="36" t="str">
        <x:v>SG_TASK_21df9241-f8d7-4509-b7f1-37e501a823f7</x:v>
      </x:c>
      <x:c r="C80" s="36" t="str">
        <x:v>21df9241-f8d7-4509-b7f1-37e501a823f7</x:v>
      </x:c>
      <x:c r="D80" s="36" t="str">
        <x:v>Represent_in_millions_billions.xlsx</x:v>
      </x:c>
      <x:c r="E80" s="36" t="str">
        <x:v>single_memory</x:v>
      </x:c>
      <x:c r="F80" s="36" t="str">
        <x:v>low_overlap_paraphrase</x:v>
      </x:c>
      <x:c r="G80" s="36" t="str">
        <x:v>train</x:v>
      </x:c>
      <x:c r="H80" s="36" t="str">
        <x:v>困难</x:v>
      </x:c>
      <x:c r="I80" s="36" t="str">
        <x:v>21df9241-f8d7-4509-b7f1-37e501a823f7</x:v>
      </x:c>
      <x:c r="J80" s="36" t="str">
        <x:v>CTX_21df9241-f8d7-4509-b7f1-37e501a823f7</x:v>
      </x:c>
      <x:c r="K80" s="36" t="str">
        <x:v>STM_21df9241-f8d7-4509-b7f1-37e501a823f7</x:v>
      </x:c>
      <x:c r="L80" s="36" t="str"/>
      <x:c r="M80" s="36" t="str"/>
      <x:c r="N80" s="36" t="str">
        <x:v>工作流程</x:v>
      </x:c>
      <x:c r="O80" s="36" t="str">
        <x:v>短期</x:v>
      </x:c>
      <x:c r="P80" s="36" t="str">
        <x:v>["libreoffice_calc"]</x:v>
      </x:c>
      <x:c r="Q80" s="36" t="str">
        <x:v>[{"step_id":"S1","app":"libreoffice_calc","action_key":"format_values_in_millions_and_billions","input_artifacts":["Represent_in_millions_billions.xlsx"],"output_artifacts":["[\"Represent_in_millions_billions.xlsx\",\"Represent_in_millions_billions-Sheet1.csv\"]"],"depends_on":[]}]</x:v>
      </x:c>
      <x:c r="R80" s="36" t="str">
        <x:v>[]</x:v>
      </x:c>
      <x:c r="S80" s="36" t="str">
        <x:v>format_values_in_millions_and_billions</x:v>
      </x:c>
      <x:c r="T80" s="36" t="str">
        <x:v>Represent_in_millions_billions.xlsx</x:v>
      </x:c>
      <x:c r="U80" s="36" t="str">
        <x:v>retrieve_and_execute</x:v>
      </x:c>
      <x:c r="V80" s="36" t="str">
        <x:v>[{"point_id":"P1","description":"主要处理方式与预期动作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x:v>
      </x:c>
      <x:c r="W80" s="36" t="str">
        <x:v>1.00</x:v>
      </x:c>
      <x:c r="X80" s="39" t="str">
        <x:v>为了让报告更紧凑，同一个参数给我两种量级写法：百万版和十亿版。</x:v>
      </x:c>
      <x:c r="Y80"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x:v>
      </x:c>
      <x:c r="Z80" s="39" t="str">
        <x:v>不适用：当前题目不存在需要用户进一步选择的候选记忆。</x:v>
      </x:c>
      <x:c r="AA80" s="39" t="str">
        <x:v>不适用：当前题目没有指定需要排除的冲突或禁止记忆。</x:v>
      </x:c>
      <x:c r="AB80" s="39" t="str">
        <x:v>应执行以下操作：在 Represent_in_millions_billions.xlsx 中，将 Parameter 数值分别在 B 列显示为 Millions (M)、在 C 列显示为 Billions (B)，保留一位小数并按四舍五入规则处理，数字与单位之间留一个空格。</x:v>
      </x:c>
      <x:c r="AC80"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x:v>
      </x:c>
      <x:c r="AD80" s="39" t="str">
        <x:v>用户的完整请求是：“为了让报告更紧凑，同一个参数给我两种量级写法：百万版和十亿版。”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x:v>
      </x:c>
      <x:c r="AE8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x:v>
      </x:c>
      <x:c r="AF80" s="50" t="str">
        <x:v>not_pass</x:v>
      </x:c>
      <x:c r="AG80" s="50" t="n">
        <x:v>0</x:v>
      </x:c>
    </x:row>
    <x:row r="81" ht="202.5" customHeight="1">
      <x:c r="A81" s="35" t="str">
        <x:v>21df9241-f8d7-4509-b7f1-37e501a823f7_HQ5</x:v>
      </x:c>
      <x:c r="B81" s="36" t="str">
        <x:v>SG_TASK_21df9241-f8d7-4509-b7f1-37e501a823f7</x:v>
      </x:c>
      <x:c r="C81" s="36" t="str">
        <x:v>21df9241-f8d7-4509-b7f1-37e501a823f7</x:v>
      </x:c>
      <x:c r="D81" s="36" t="str">
        <x:v>Represent_in_millions_billions.xlsx</x:v>
      </x:c>
      <x:c r="E81" s="36" t="str">
        <x:v>single_memory</x:v>
      </x:c>
      <x:c r="F81" s="36" t="str">
        <x:v>human_constraint_emphasis</x:v>
      </x:c>
      <x:c r="G81" s="36" t="str">
        <x:v>train</x:v>
      </x:c>
      <x:c r="H81" s="36" t="str">
        <x:v>困难</x:v>
      </x:c>
      <x:c r="I81" s="36" t="str">
        <x:v>21df9241-f8d7-4509-b7f1-37e501a823f7</x:v>
      </x:c>
      <x:c r="J81" s="36" t="str">
        <x:v>CTX_21df9241-f8d7-4509-b7f1-37e501a823f7</x:v>
      </x:c>
      <x:c r="K81" s="36" t="str">
        <x:v>STM_21df9241-f8d7-4509-b7f1-37e501a823f7</x:v>
      </x:c>
      <x:c r="L81" s="36" t="str"/>
      <x:c r="M81" s="36" t="str"/>
      <x:c r="N81" s="36" t="str">
        <x:v>工作流程</x:v>
      </x:c>
      <x:c r="O81" s="36" t="str">
        <x:v>短期</x:v>
      </x:c>
      <x:c r="P81" s="36" t="str">
        <x:v>["libreoffice_calc"]</x:v>
      </x:c>
      <x:c r="Q81" s="36" t="str">
        <x:v>[{"step_id":"S1","app":"libreoffice_calc","action_key":"format_values_in_millions_and_billions","input_artifacts":["Represent_in_millions_billions.xlsx"],"output_artifacts":["[\"Represent_in_millions_billions.xlsx\",\"Represent_in_millions_billions-Sheet1.csv\"]"],"depends_on":[]}]</x:v>
      </x:c>
      <x:c r="R81" s="36" t="str">
        <x:v>[]</x:v>
      </x:c>
      <x:c r="S81" s="36" t="str">
        <x:v>format_values_in_millions_and_billions</x:v>
      </x:c>
      <x:c r="T81" s="36" t="str">
        <x:v>Represent_in_millions_billions.xlsx</x:v>
      </x:c>
      <x:c r="U81" s="36" t="str">
        <x:v>retrieve_and_execute</x:v>
      </x:c>
      <x:c r="V81" s="36" t="str">
        <x:v>[{"point_id":"P1","description":"主要处理方式与预期动作 format_values_in_millions_and_billions 语义一致","weight":0.4,"evidence_memory_ids":["STM_21df9241-f8d7-4509-b7f1-37e501a823f7"]},{"point_id":"P2","description":"正确定位目标对象 Represent_in_millions_billions.xlsx","weight":0.2,"evidence_memory_ids":["STM_21df9241-f8d7-4509-b7f1-37e501a823f7"]},{"point_id":"P3","description":"满足关键条件：B 列使用 M、C 列使用 B；保留一位小数；数字与单位间有一个空格","weight":0.3,"evidence_memory_ids":["STM_21df9241-f8d7-4509-b7f1-37e501a823f7"]},{"point_id":"P4","description":"不增加无记忆证据支持的操作","weight":0.1,"evidence_memory_ids":["STM_21df9241-f8d7-4509-b7f1-37e501a823f7"]}]</x:v>
      </x:c>
      <x:c r="W81" s="36" t="str">
        <x:v>1.00</x:v>
      </x:c>
      <x:c r="X81" s="39" t="str">
        <x:v>B列显示一位小数加 M，C列显示一位小数加 B，数字和单位之间别忘了空格。</x:v>
      </x:c>
      <x:c r="Y81"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x:v>
      </x:c>
      <x:c r="Z81" s="39" t="str">
        <x:v>不适用：当前题目不存在需要用户进一步选择的候选记忆。</x:v>
      </x:c>
      <x:c r="AA81" s="39" t="str">
        <x:v>不适用：当前题目没有指定需要排除的冲突或禁止记忆。</x:v>
      </x:c>
      <x:c r="AB81" s="39" t="str">
        <x:v>应执行以下操作：在 Represent_in_millions_billions.xlsx 中，将 Parameter 数值分别在 B 列显示为 Millions (M)、在 C 列显示为 Billions (B)，保留一位小数并按四舍五入规则处理，数字与单位之间留一个空格。</x:v>
      </x:c>
      <x:c r="AC81"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x:v>
      </x:c>
      <x:c r="AD81" s="39" t="str">
        <x:v>用户的完整请求是：“B列显示一位小数加 M，C列显示一位小数加 B，数字和单位之间别忘了空格。” 第1个当前上下文：Represent_in_millions_billions.xlsx 已在 LibreOffice Calc 中打开。 当前请求是在已有办公上下文中继续、复用或重新强调既有处理方式。与该请求唯一对应的完整必需记忆如下：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Represent_in_millions_billions.xlsx 中，将 Parameter 数值分别在 B 列显示为 Millions (M)、在 C 列显示为 Billions (B)，保留一位小数并按四舍五入规则处理，数字与单位之间留一个空格。”</x:v>
      </x:c>
      <x:c r="AE8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第2个得分点（0.20分）：正确定位目标对象 Represent_in_millions_billions.xlsx。该得分点所依据的完整证据为：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第3个得分点（0.30分）：满足关键条件：B 列使用 M、C 列使用 B；保留一位小数；数字与单位间有一个空格。该得分点所依据的完整证据为：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第4个得分点（0.10分）：不增加无记忆证据支持的操作。该得分点所依据的完整证据为：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人工复审时，应依据模型最终给出的信息和实际操作是否满足上述每个得分点分别给分；只命中记忆 ID 但没有形成对应结论不能获得该结论分，形成了正确结论但表达方式不同则不应扣分。</x:v>
      </x:c>
      <x:c r="AF81" s="50" t="str">
        <x:v>not_pass</x:v>
      </x:c>
      <x:c r="AG81" s="50" t="n">
        <x:v>0</x:v>
      </x:c>
    </x:row>
    <x:row r="82" ht="202.5" customHeight="1">
      <x:c r="A82" s="35" t="str">
        <x:v>26a8440e-c166-4c50-aef4-bfb77314b46b_HQ1</x:v>
      </x:c>
      <x:c r="B82" s="36" t="str">
        <x:v>SG_TASK_26a8440e-c166-4c50-aef4-bfb77314b46b</x:v>
      </x:c>
      <x:c r="C82" s="36" t="str">
        <x:v>26a8440e-c166-4c50-aef4-bfb77314b46b</x:v>
      </x:c>
      <x:c r="D82" s="36" t="str">
        <x:v>SalesRep.xlsx</x:v>
      </x:c>
      <x:c r="E82" s="36" t="str">
        <x:v>single_memory</x:v>
      </x:c>
      <x:c r="F82" s="36" t="str">
        <x:v>human_context_explicit</x:v>
      </x:c>
      <x:c r="G82" s="36" t="str">
        <x:v>train</x:v>
      </x:c>
      <x:c r="H82" s="36" t="str">
        <x:v>简单</x:v>
      </x:c>
      <x:c r="I82" s="36" t="str">
        <x:v>26a8440e-c166-4c50-aef4-bfb77314b46b</x:v>
      </x:c>
      <x:c r="J82" s="36" t="str">
        <x:v>CTX_26a8440e-c166-4c50-aef4-bfb77314b46b</x:v>
      </x:c>
      <x:c r="K82" s="36" t="str">
        <x:v>MTM_26a8440e-c166-4c50-aef4-bfb77314b46b</x:v>
      </x:c>
      <x:c r="L82" s="36" t="str"/>
      <x:c r="M82" s="36" t="str">
        <x:v>MTM_0326d92d-d218-48a8-9ca1-981cd6d064c7|MTM_0a2e43bf-b26c-4631-a966-af9dfa12c9e5</x:v>
      </x:c>
      <x:c r="N82" s="36" t="str">
        <x:v>可复用模板</x:v>
      </x:c>
      <x:c r="O82" s="36" t="str">
        <x:v>中期</x:v>
      </x:c>
      <x:c r="P82" s="36" t="str">
        <x:v>["libreoffice_calc"]</x:v>
      </x:c>
      <x:c r="Q82" s="36" t="str">
        <x:v>[{"step_id":"S1","app":"libreoffice_calc","action_key":"create_month_total_table","input_artifacts":["SalesRep.xlsx"],"output_artifacts":["SalesRep.xlsx"],"depends_on":[]}]</x:v>
      </x:c>
      <x:c r="R82" s="36" t="str">
        <x:v>[]</x:v>
      </x:c>
      <x:c r="S82" s="36" t="str">
        <x:v>create_month_total_table</x:v>
      </x:c>
      <x:c r="T82" s="36" t="str">
        <x:v>SalesRep.xlsx</x:v>
      </x:c>
      <x:c r="U82" s="36" t="str">
        <x:v>retrieve_and_execute</x:v>
      </x:c>
      <x:c r="V82" s="36" t="str">
        <x:v>[{"point_id":"P1","description":"主要处理方式与预期动作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x:v>
      </x:c>
      <x:c r="W82" s="36" t="str">
        <x:v>1.00</x:v>
      </x:c>
      <x:c r="X82" s="39" t="str">
        <x:v>SalesRep.xlsx 这次按 Month/Total 两列表的方式，把各月总销售额放到 Sheet2。</x:v>
      </x:c>
      <x:c r="Y82" s="39" t="str">
        <x:v>第1条记忆（中期/可复用模板）：在 SalesRep.xlsx 新建 Sheet2，建立 Month 和 Total 两列表头，并列出所有月份及对应总销售额。关键约束：只创建 Month/Total 两列表；放在 Sheet2；不创建图表或增长率行。</x:v>
      </x:c>
      <x:c r="Z82" s="39" t="str">
        <x:v>不适用：当前题目不存在需要用户进一步选择的候选记忆。</x:v>
      </x:c>
      <x:c r="AA82"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x:v>
      </x:c>
      <x:c r="AB82" s="39" t="str">
        <x:v>应执行以下操作：在 SalesRep.xlsx 新建 Sheet2，建立 Month 和 Total 两列表头，并列出所有月份及对应总销售额。</x:v>
      </x:c>
      <x:c r="AC82" s="39" t="str">
        <x:v>第1项实际操作：在 SalesRep.xlsx 新建 Sheet2，建立 Month 和 Total 两列表头，并列出所有月份及对应总销售额。执行时必须满足：只创建 Month/Total 两列表；放在 Sheet2；不创建图表或增长率行。</x:v>
      </x:c>
      <x:c r="AD82" s="39" t="str">
        <x:v>用户的完整请求是：“SalesRep.xlsx 这次按 Month/Total 两列表的方式，把各月总销售额放到 Sheet2。”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x:v>
      </x:c>
      <x:c r="AE8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82" s="50" t="str">
        <x:v>not_pass</x:v>
      </x:c>
      <x:c r="AG82" s="50" t="n">
        <x:v>0</x:v>
      </x:c>
    </x:row>
    <x:row r="83" ht="202.5" customHeight="1">
      <x:c r="A83" s="35" t="str">
        <x:v>26a8440e-c166-4c50-aef4-bfb77314b46b_HQ2</x:v>
      </x:c>
      <x:c r="B83" s="36" t="str">
        <x:v>SG_TASK_26a8440e-c166-4c50-aef4-bfb77314b46b</x:v>
      </x:c>
      <x:c r="C83" s="36" t="str">
        <x:v>26a8440e-c166-4c50-aef4-bfb77314b46b</x:v>
      </x:c>
      <x:c r="D83" s="36" t="str">
        <x:v>SalesRep.xlsx</x:v>
      </x:c>
      <x:c r="E83" s="36" t="str">
        <x:v>single_memory</x:v>
      </x:c>
      <x:c r="F83" s="36" t="str">
        <x:v>human_goal_oriented</x:v>
      </x:c>
      <x:c r="G83" s="36" t="str">
        <x:v>train</x:v>
      </x:c>
      <x:c r="H83" s="36" t="str">
        <x:v>中等</x:v>
      </x:c>
      <x:c r="I83" s="36" t="str">
        <x:v>26a8440e-c166-4c50-aef4-bfb77314b46b</x:v>
      </x:c>
      <x:c r="J83" s="36" t="str">
        <x:v>CTX_26a8440e-c166-4c50-aef4-bfb77314b46b</x:v>
      </x:c>
      <x:c r="K83" s="36" t="str">
        <x:v>MTM_26a8440e-c166-4c50-aef4-bfb77314b46b</x:v>
      </x:c>
      <x:c r="L83" s="36" t="str"/>
      <x:c r="M83" s="36" t="str">
        <x:v>MTM_0326d92d-d218-48a8-9ca1-981cd6d064c7|MTM_0a2e43bf-b26c-4631-a966-af9dfa12c9e5</x:v>
      </x:c>
      <x:c r="N83" s="36" t="str">
        <x:v>可复用模板</x:v>
      </x:c>
      <x:c r="O83" s="36" t="str">
        <x:v>中期</x:v>
      </x:c>
      <x:c r="P83" s="36" t="str">
        <x:v>["libreoffice_calc"]</x:v>
      </x:c>
      <x:c r="Q83" s="36" t="str">
        <x:v>[{"step_id":"S1","app":"libreoffice_calc","action_key":"create_month_total_table","input_artifacts":["SalesRep.xlsx"],"output_artifacts":["SalesRep.xlsx"],"depends_on":[]}]</x:v>
      </x:c>
      <x:c r="R83" s="36" t="str">
        <x:v>[]</x:v>
      </x:c>
      <x:c r="S83" s="36" t="str">
        <x:v>create_month_total_table</x:v>
      </x:c>
      <x:c r="T83" s="36" t="str">
        <x:v>SalesRep.xlsx</x:v>
      </x:c>
      <x:c r="U83" s="36" t="str">
        <x:v>retrieve_and_execute</x:v>
      </x:c>
      <x:c r="V83" s="36" t="str">
        <x:v>[{"point_id":"P1","description":"主要处理方式与预期动作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x:v>
      </x:c>
      <x:c r="W83" s="36" t="str">
        <x:v>1.00</x:v>
      </x:c>
      <x:c r="X83" s="39" t="str">
        <x:v>我只要一张简洁的月度汇总表，第一列月份、第二列合计，不需要画图。</x:v>
      </x:c>
      <x:c r="Y83" s="39" t="str">
        <x:v>第1条记忆（中期/可复用模板）：在 SalesRep.xlsx 新建 Sheet2，建立 Month 和 Total 两列表头，并列出所有月份及对应总销售额。关键约束：只创建 Month/Total 两列表；放在 Sheet2；不创建图表或增长率行。</x:v>
      </x:c>
      <x:c r="Z83" s="39" t="str">
        <x:v>不适用：当前题目不存在需要用户进一步选择的候选记忆。</x:v>
      </x:c>
      <x:c r="AA83"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x:v>
      </x:c>
      <x:c r="AB83" s="39" t="str">
        <x:v>应执行以下操作：在 SalesRep.xlsx 新建 Sheet2，建立 Month 和 Total 两列表头，并列出所有月份及对应总销售额。</x:v>
      </x:c>
      <x:c r="AC83" s="39" t="str">
        <x:v>第1项实际操作：在 SalesRep.xlsx 新建 Sheet2，建立 Month 和 Total 两列表头，并列出所有月份及对应总销售额。执行时必须满足：只创建 Month/Total 两列表；放在 Sheet2；不创建图表或增长率行。</x:v>
      </x:c>
      <x:c r="AD83" s="39" t="str">
        <x:v>用户的完整请求是：“我只要一张简洁的月度汇总表，第一列月份、第二列合计，不需要画图。”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x:v>
      </x:c>
      <x:c r="AE8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83" s="50" t="str">
        <x:v>not_pass</x:v>
      </x:c>
      <x:c r="AG83" s="50" t="n">
        <x:v>0</x:v>
      </x:c>
    </x:row>
    <x:row r="84" ht="202.5" customHeight="1">
      <x:c r="A84" s="35" t="str">
        <x:v>26a8440e-c166-4c50-aef4-bfb77314b46b_HQ3</x:v>
      </x:c>
      <x:c r="B84" s="36" t="str">
        <x:v>SG_TASK_26a8440e-c166-4c50-aef4-bfb77314b46b</x:v>
      </x:c>
      <x:c r="C84" s="36" t="str">
        <x:v>26a8440e-c166-4c50-aef4-bfb77314b46b</x:v>
      </x:c>
      <x:c r="D84" s="36" t="str">
        <x:v>SalesRep.xlsx</x:v>
      </x:c>
      <x:c r="E84" s="36" t="str">
        <x:v>single_memory</x:v>
      </x:c>
      <x:c r="F84" s="36" t="str">
        <x:v>contextual_ellipsis</x:v>
      </x:c>
      <x:c r="G84" s="36" t="str">
        <x:v>train</x:v>
      </x:c>
      <x:c r="H84" s="36" t="str">
        <x:v>中等</x:v>
      </x:c>
      <x:c r="I84" s="36" t="str">
        <x:v>26a8440e-c166-4c50-aef4-bfb77314b46b</x:v>
      </x:c>
      <x:c r="J84" s="36" t="str">
        <x:v>CTX_26a8440e-c166-4c50-aef4-bfb77314b46b</x:v>
      </x:c>
      <x:c r="K84" s="36" t="str">
        <x:v>MTM_26a8440e-c166-4c50-aef4-bfb77314b46b</x:v>
      </x:c>
      <x:c r="L84" s="36" t="str"/>
      <x:c r="M84" s="36" t="str">
        <x:v>MTM_0326d92d-d218-48a8-9ca1-981cd6d064c7|MTM_0a2e43bf-b26c-4631-a966-af9dfa12c9e5</x:v>
      </x:c>
      <x:c r="N84" s="36" t="str">
        <x:v>可复用模板</x:v>
      </x:c>
      <x:c r="O84" s="36" t="str">
        <x:v>中期</x:v>
      </x:c>
      <x:c r="P84" s="36" t="str">
        <x:v>["libreoffice_calc"]</x:v>
      </x:c>
      <x:c r="Q84" s="36" t="str">
        <x:v>[{"step_id":"S1","app":"libreoffice_calc","action_key":"create_month_total_table","input_artifacts":["SalesRep.xlsx"],"output_artifacts":["SalesRep.xlsx"],"depends_on":[]}]</x:v>
      </x:c>
      <x:c r="R84" s="36" t="str">
        <x:v>[]</x:v>
      </x:c>
      <x:c r="S84" s="36" t="str">
        <x:v>create_month_total_table</x:v>
      </x:c>
      <x:c r="T84" s="36" t="str">
        <x:v>SalesRep.xlsx</x:v>
      </x:c>
      <x:c r="U84" s="36" t="str">
        <x:v>retrieve_and_execute</x:v>
      </x:c>
      <x:c r="V84" s="36" t="str">
        <x:v>[{"point_id":"P1","description":"主要处理方式与预期动作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x:v>
      </x:c>
      <x:c r="W84" s="36" t="str">
        <x:v>1.00</x:v>
      </x:c>
      <x:c r="X84" s="39" t="str">
        <x:v>当前销售表继续把所有月份的总额整理到第二张表，保持两列结构。</x:v>
      </x:c>
      <x:c r="Y84" s="39" t="str">
        <x:v>第1条记忆（中期/可复用模板）：在 SalesRep.xlsx 新建 Sheet2，建立 Month 和 Total 两列表头，并列出所有月份及对应总销售额。关键约束：只创建 Month/Total 两列表；放在 Sheet2；不创建图表或增长率行。</x:v>
      </x:c>
      <x:c r="Z84" s="39" t="str">
        <x:v>不适用：当前题目不存在需要用户进一步选择的候选记忆。</x:v>
      </x:c>
      <x:c r="AA84"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x:v>
      </x:c>
      <x:c r="AB84" s="39" t="str">
        <x:v>应执行以下操作：在 SalesRep.xlsx 新建 Sheet2，建立 Month 和 Total 两列表头，并列出所有月份及对应总销售额。</x:v>
      </x:c>
      <x:c r="AC84" s="39" t="str">
        <x:v>第1项实际操作：在 SalesRep.xlsx 新建 Sheet2，建立 Month 和 Total 两列表头，并列出所有月份及对应总销售额。执行时必须满足：只创建 Month/Total 两列表；放在 Sheet2；不创建图表或增长率行。</x:v>
      </x:c>
      <x:c r="AD84" s="39" t="str">
        <x:v>用户的完整请求是：“当前销售表继续把所有月份的总额整理到第二张表，保持两列结构。”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x:v>
      </x:c>
      <x:c r="AE8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84" s="50" t="str">
        <x:v>not_pass</x:v>
      </x:c>
      <x:c r="AG84" s="50" t="n">
        <x:v>0</x:v>
      </x:c>
    </x:row>
    <x:row r="85" ht="202.5" customHeight="1">
      <x:c r="A85" s="35" t="str">
        <x:v>26a8440e-c166-4c50-aef4-bfb77314b46b_HQ4</x:v>
      </x:c>
      <x:c r="B85" s="36" t="str">
        <x:v>SG_TASK_26a8440e-c166-4c50-aef4-bfb77314b46b</x:v>
      </x:c>
      <x:c r="C85" s="36" t="str">
        <x:v>26a8440e-c166-4c50-aef4-bfb77314b46b</x:v>
      </x:c>
      <x:c r="D85" s="36" t="str">
        <x:v>SalesRep.xlsx</x:v>
      </x:c>
      <x:c r="E85" s="36" t="str">
        <x:v>single_memory</x:v>
      </x:c>
      <x:c r="F85" s="36" t="str">
        <x:v>low_overlap_paraphrase</x:v>
      </x:c>
      <x:c r="G85" s="36" t="str">
        <x:v>train</x:v>
      </x:c>
      <x:c r="H85" s="36" t="str">
        <x:v>困难</x:v>
      </x:c>
      <x:c r="I85" s="36" t="str">
        <x:v>26a8440e-c166-4c50-aef4-bfb77314b46b</x:v>
      </x:c>
      <x:c r="J85" s="36" t="str">
        <x:v>CTX_26a8440e-c166-4c50-aef4-bfb77314b46b</x:v>
      </x:c>
      <x:c r="K85" s="36" t="str">
        <x:v>MTM_26a8440e-c166-4c50-aef4-bfb77314b46b</x:v>
      </x:c>
      <x:c r="L85" s="36" t="str"/>
      <x:c r="M85" s="36" t="str">
        <x:v>MTM_0326d92d-d218-48a8-9ca1-981cd6d064c7|MTM_0a2e43bf-b26c-4631-a966-af9dfa12c9e5</x:v>
      </x:c>
      <x:c r="N85" s="36" t="str">
        <x:v>可复用模板</x:v>
      </x:c>
      <x:c r="O85" s="36" t="str">
        <x:v>中期</x:v>
      </x:c>
      <x:c r="P85" s="36" t="str">
        <x:v>["libreoffice_calc"]</x:v>
      </x:c>
      <x:c r="Q85" s="36" t="str">
        <x:v>[{"step_id":"S1","app":"libreoffice_calc","action_key":"create_month_total_table","input_artifacts":["SalesRep.xlsx"],"output_artifacts":["SalesRep.xlsx"],"depends_on":[]}]</x:v>
      </x:c>
      <x:c r="R85" s="36" t="str">
        <x:v>[]</x:v>
      </x:c>
      <x:c r="S85" s="36" t="str">
        <x:v>create_month_total_table</x:v>
      </x:c>
      <x:c r="T85" s="36" t="str">
        <x:v>SalesRep.xlsx</x:v>
      </x:c>
      <x:c r="U85" s="36" t="str">
        <x:v>retrieve_and_execute</x:v>
      </x:c>
      <x:c r="V85" s="36" t="str">
        <x:v>[{"point_id":"P1","description":"主要处理方式与预期动作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x:v>
      </x:c>
      <x:c r="W85" s="36" t="str">
        <x:v>1.00</x:v>
      </x:c>
      <x:c r="X85" s="39" t="str">
        <x:v>为了后续导入，我想把月度销售压成最简单的月份加总额清单。</x:v>
      </x:c>
      <x:c r="Y85" s="39" t="str">
        <x:v>第1条记忆（中期/可复用模板）：在 SalesRep.xlsx 新建 Sheet2，建立 Month 和 Total 两列表头，并列出所有月份及对应总销售额。关键约束：只创建 Month/Total 两列表；放在 Sheet2；不创建图表或增长率行。</x:v>
      </x:c>
      <x:c r="Z85" s="39" t="str">
        <x:v>不适用：当前题目不存在需要用户进一步选择的候选记忆。</x:v>
      </x:c>
      <x:c r="AA85"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x:v>
      </x:c>
      <x:c r="AB85" s="39" t="str">
        <x:v>应执行以下操作：在 SalesRep.xlsx 新建 Sheet2，建立 Month 和 Total 两列表头，并列出所有月份及对应总销售额。</x:v>
      </x:c>
      <x:c r="AC85" s="39" t="str">
        <x:v>第1项实际操作：在 SalesRep.xlsx 新建 Sheet2，建立 Month 和 Total 两列表头，并列出所有月份及对应总销售额。执行时必须满足：只创建 Month/Total 两列表；放在 Sheet2；不创建图表或增长率行。</x:v>
      </x:c>
      <x:c r="AD85" s="39" t="str">
        <x:v>用户的完整请求是：“为了后续导入，我想把月度销售压成最简单的月份加总额清单。”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x:v>
      </x:c>
      <x:c r="AE8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85" s="50" t="str">
        <x:v>not_pass</x:v>
      </x:c>
      <x:c r="AG85" s="50" t="n">
        <x:v>0</x:v>
      </x:c>
    </x:row>
    <x:row r="86" ht="202.5" customHeight="1">
      <x:c r="A86" s="35" t="str">
        <x:v>26a8440e-c166-4c50-aef4-bfb77314b46b_HQ5</x:v>
      </x:c>
      <x:c r="B86" s="36" t="str">
        <x:v>SG_TASK_26a8440e-c166-4c50-aef4-bfb77314b46b</x:v>
      </x:c>
      <x:c r="C86" s="36" t="str">
        <x:v>26a8440e-c166-4c50-aef4-bfb77314b46b</x:v>
      </x:c>
      <x:c r="D86" s="36" t="str">
        <x:v>SalesRep.xlsx</x:v>
      </x:c>
      <x:c r="E86" s="36" t="str">
        <x:v>single_memory</x:v>
      </x:c>
      <x:c r="F86" s="36" t="str">
        <x:v>human_constraint_emphasis</x:v>
      </x:c>
      <x:c r="G86" s="36" t="str">
        <x:v>train</x:v>
      </x:c>
      <x:c r="H86" s="36" t="str">
        <x:v>困难</x:v>
      </x:c>
      <x:c r="I86" s="36" t="str">
        <x:v>26a8440e-c166-4c50-aef4-bfb77314b46b</x:v>
      </x:c>
      <x:c r="J86" s="36" t="str">
        <x:v>CTX_26a8440e-c166-4c50-aef4-bfb77314b46b</x:v>
      </x:c>
      <x:c r="K86" s="36" t="str">
        <x:v>MTM_26a8440e-c166-4c50-aef4-bfb77314b46b</x:v>
      </x:c>
      <x:c r="L86" s="36" t="str"/>
      <x:c r="M86" s="36" t="str">
        <x:v>MTM_0326d92d-d218-48a8-9ca1-981cd6d064c7|MTM_0a2e43bf-b26c-4631-a966-af9dfa12c9e5</x:v>
      </x:c>
      <x:c r="N86" s="36" t="str">
        <x:v>可复用模板</x:v>
      </x:c>
      <x:c r="O86" s="36" t="str">
        <x:v>中期</x:v>
      </x:c>
      <x:c r="P86" s="36" t="str">
        <x:v>["libreoffice_calc"]</x:v>
      </x:c>
      <x:c r="Q86" s="36" t="str">
        <x:v>[{"step_id":"S1","app":"libreoffice_calc","action_key":"create_month_total_table","input_artifacts":["SalesRep.xlsx"],"output_artifacts":["SalesRep.xlsx"],"depends_on":[]}]</x:v>
      </x:c>
      <x:c r="R86" s="36" t="str">
        <x:v>[]</x:v>
      </x:c>
      <x:c r="S86" s="36" t="str">
        <x:v>create_month_total_table</x:v>
      </x:c>
      <x:c r="T86" s="36" t="str">
        <x:v>SalesRep.xlsx</x:v>
      </x:c>
      <x:c r="U86" s="36" t="str">
        <x:v>retrieve_and_execute</x:v>
      </x:c>
      <x:c r="V86" s="36" t="str">
        <x:v>[{"point_id":"P1","description":"主要处理方式与预期动作 create_month_total_table 语义一致","weight":0.4,"evidence_memory_ids":["MTM_26a8440e-c166-4c50-aef4-bfb77314b46b"]},{"point_id":"P2","description":"正确定位目标对象 SalesRep.xlsx","weight":0.2,"evidence_memory_ids":["MTM_26a8440e-c166-4c50-aef4-bfb77314b46b"]},{"point_id":"P3","description":"满足关键条件：只创建 Month/Total 两列表；放在 Sheet2；不创建图表或增长率行","weight":0.3,"evidence_memory_ids":["MTM_26a8440e-c166-4c50-aef4-bfb77314b46b"]},{"point_id":"P4","description":"不采用禁止记忆中的冲突方案","weight":0.1,"evidence_memory_ids":["MTM_26a8440e-c166-4c50-aef4-bfb77314b46b","MTM_0326d92d-d218-48a8-9ca1-981cd6d064c7","MTM_0a2e43bf-b26c-4631-a966-af9dfa12c9e5"]}]</x:v>
      </x:c>
      <x:c r="W86" s="36" t="str">
        <x:v>1.00</x:v>
      </x:c>
      <x:c r="X86" s="39" t="str">
        <x:v>SalesRep 只做 Sheet2 的 Month 和 Total，不要用 Total 行图表那套。</x:v>
      </x:c>
      <x:c r="Y86" s="39" t="str">
        <x:v>第1条记忆（中期/可复用模板）：在 SalesRep.xlsx 新建 Sheet2，建立 Month 和 Total 两列表头，并列出所有月份及对应总销售额。关键约束：只创建 Month/Total 两列表；放在 Sheet2；不创建图表或增长率行。</x:v>
      </x:c>
      <x:c r="Z86" s="39" t="str">
        <x:v>不适用：当前题目不存在需要用户进一步选择的候选记忆。</x:v>
      </x:c>
      <x:c r="AA86"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x:v>
      </x:c>
      <x:c r="AB86" s="39" t="str">
        <x:v>应执行以下操作：在 SalesRep.xlsx 新建 Sheet2，建立 Month 和 Total 两列表头，并列出所有月份及对应总销售额。</x:v>
      </x:c>
      <x:c r="AC86" s="39" t="str">
        <x:v>第1项实际操作：在 SalesRep.xlsx 新建 Sheet2，建立 Month 和 Total 两列表头，并列出所有月份及对应总销售额。执行时必须满足：只创建 Month/Total 两列表；放在 Sheet2；不创建图表或增长率行。</x:v>
      </x:c>
      <x:c r="AD86" s="39" t="str">
        <x:v>用户的完整请求是：“SalesRep 只做 Sheet2 的 Month 和 Total，不要用 Total 行图表那套。” 第1个当前上下文：SalesRep.xlsx 已在 LibreOffice Calc 中打开。 当前请求是在已有办公上下文中继续、复用或重新强调既有处理方式。与该请求唯一对应的完整必需记忆如下：
第1条记忆（中期/可复用模板）：在 SalesRep.xlsx 新建 Sheet2，建立 Month 和 Total 两列表头，并列出所有月份及对应总销售额。关键约束：只创建 Month/Total 两列表；放在 Sheet2；不创建图表或增长率行。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SalesRep.xlsx 新建 Sheet2，建立 Month 和 Total 两列表头，并列出所有月份及对应总销售额。”</x:v>
      </x:c>
      <x:c r="AE8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SalesRep.xlsx 新建 Sheet2，建立 Month 和 Total 两列表头，并列出所有月份及对应总销售额。关键约束：只创建 Month/Total 两列表；放在 Sheet2；不创建图表或增长率行。
第2个得分点（0.20分）：正确定位目标对象 SalesRep.xlsx。该得分点所依据的完整证据为：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第3个得分点（0.30分）：满足关键条件：只创建 Month/Total 两列表；放在 Sheet2；不创建图表或增长率行。该得分点所依据的完整证据为：
第1条记忆（中期/可复用模板）：在 SalesRep.xlsx 新建 Sheet2，建立 Month 和 Total 两列表头，并列出所有月份及对应总销售额。关键约束：只创建 Month/Total 两列表；放在 Sheet2；不创建图表或增长率行。
第4个得分点（0.10分）：不采用禁止记忆中的冲突方案。该得分点所依据的完整证据为：
第1条记忆（中期/可复用模板）：在 SalesRep.xlsx 新建 Sheet2，建立 Month 和 Total 两列表头，并列出所有月份及对应总销售额。关键约束：只创建 Month/Total 两列表；放在 Sheet2；不创建图表或增长率行。
第2条记忆（中期/可复用模板）：在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86" s="50" t="str">
        <x:v>not_pass</x:v>
      </x:c>
      <x:c r="AG86" s="50" t="n">
        <x:v>0</x:v>
      </x:c>
    </x:row>
    <x:row r="87" ht="175.5" customHeight="1">
      <x:c r="A87" s="35" t="str">
        <x:v>2bd59342-0664-4ccb-ba87-79379096cc08_HQ1</x:v>
      </x:c>
      <x:c r="B87" s="36" t="str">
        <x:v>SG_TASK_2bd59342-0664-4ccb-ba87-79379096cc08</x:v>
      </x:c>
      <x:c r="C87" s="36" t="str">
        <x:v>2bd59342-0664-4ccb-ba87-79379096cc08</x:v>
      </x:c>
      <x:c r="D87" s="36" t="str">
        <x:v>OrderId_Month_Chart.xlsx</x:v>
      </x:c>
      <x:c r="E87" s="36" t="str">
        <x:v>single_memory</x:v>
      </x:c>
      <x:c r="F87" s="36" t="str">
        <x:v>human_context_explicit</x:v>
      </x:c>
      <x:c r="G87" s="36" t="str">
        <x:v>train</x:v>
      </x:c>
      <x:c r="H87" s="36" t="str">
        <x:v>简单</x:v>
      </x:c>
      <x:c r="I87" s="36" t="str">
        <x:v>2bd59342-0664-4ccb-ba87-79379096cc08</x:v>
      </x:c>
      <x:c r="J87" s="36" t="str">
        <x:v>CTX_2bd59342-0664-4ccb-ba87-79379096cc08</x:v>
      </x:c>
      <x:c r="K87" s="36" t="str">
        <x:v>STM_2bd59342-0664-4ccb-ba87-79379096cc08</x:v>
      </x:c>
      <x:c r="L87" s="36" t="str"/>
      <x:c r="M87" s="36" t="str"/>
      <x:c r="N87" s="36" t="str">
        <x:v>工作流程</x:v>
      </x:c>
      <x:c r="O87" s="36" t="str">
        <x:v>短期</x:v>
      </x:c>
      <x:c r="P87" s="36" t="str">
        <x:v>["libreoffice_calc"]</x:v>
      </x:c>
      <x:c r="Q87" s="36" t="str">
        <x:v>[{"step_id":"S1","app":"libreoffice_calc","action_key":"create_order_sparklines","input_artifacts":["OrderId_Month_Chart.xlsx"],"output_artifacts":["OrderId_Month_Chart.xlsx"],"depends_on":[]}]</x:v>
      </x:c>
      <x:c r="R87" s="36" t="str">
        <x:v>[]</x:v>
      </x:c>
      <x:c r="S87" s="36" t="str">
        <x:v>create_order_sparklines</x:v>
      </x:c>
      <x:c r="T87" s="36" t="str">
        <x:v>OrderId_Month_Chart.xlsx</x:v>
      </x:c>
      <x:c r="U87" s="36" t="str">
        <x:v>retrieve_and_execute</x:v>
      </x:c>
      <x:c r="V87" s="36" t="str">
        <x:v>[{"point_id":"P1","description":"主要处理方式与预期动作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x:v>
      </x:c>
      <x:c r="W87" s="36" t="str">
        <x:v>1.00</x:v>
      </x:c>
      <x:c r="X87" s="39" t="str">
        <x:v>OrderId_Month_Chart.xlsx 的订单趋势按之前的做法放到 Chart 列，每行看1到3月的迷你图。</x:v>
      </x:c>
      <x:c r="Y87" s="39" t="str">
        <x:v>第1条记忆（短期/工作流程）：在 OrderId_Month_Chart.xlsx 的 Chart 列中，为每个订单编号使用 1 月至 3 月数据创建迷你图。关键约束：每个 Order ID 一张迷你图；数据范围仅为 Jan-Mar；结果位于 Chart 列。</x:v>
      </x:c>
      <x:c r="Z87" s="39" t="str">
        <x:v>不适用：当前题目不存在需要用户进一步选择的候选记忆。</x:v>
      </x:c>
      <x:c r="AA87" s="39" t="str">
        <x:v>不适用：当前题目没有指定需要排除的冲突或禁止记忆。</x:v>
      </x:c>
      <x:c r="AB87" s="39" t="str">
        <x:v>应执行以下操作：在 OrderId_Month_Chart.xlsx 的 Chart 列中，为每个订单编号使用 1 月至 3 月数据创建迷你图。</x:v>
      </x:c>
      <x:c r="AC87" s="39" t="str">
        <x:v>第1项实际操作：在 OrderId_Month_Chart.xlsx 的 Chart 列中，为每个订单编号使用 1 月至 3 月数据创建迷你图。执行时必须满足：每个 Order ID 一张迷你图；数据范围仅为 Jan-Mar；结果位于 Chart 列。</x:v>
      </x:c>
      <x:c r="AD87" s="39" t="str">
        <x:v>用户的完整请求是：“OrderId_Month_Chart.xlsx 的订单趋势按之前的做法放到 Chart 列，每行看1到3月的迷你图。”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x:v>
      </x:c>
      <x:c r="AE8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87" s="50" t="str">
        <x:v>not_pass</x:v>
      </x:c>
      <x:c r="AG87" s="50" t="n">
        <x:v>0</x:v>
      </x:c>
    </x:row>
    <x:row r="88" ht="175.5" customHeight="1">
      <x:c r="A88" s="35" t="str">
        <x:v>2bd59342-0664-4ccb-ba87-79379096cc08_HQ2</x:v>
      </x:c>
      <x:c r="B88" s="36" t="str">
        <x:v>SG_TASK_2bd59342-0664-4ccb-ba87-79379096cc08</x:v>
      </x:c>
      <x:c r="C88" s="36" t="str">
        <x:v>2bd59342-0664-4ccb-ba87-79379096cc08</x:v>
      </x:c>
      <x:c r="D88" s="36" t="str">
        <x:v>OrderId_Month_Chart.xlsx</x:v>
      </x:c>
      <x:c r="E88" s="36" t="str">
        <x:v>single_memory</x:v>
      </x:c>
      <x:c r="F88" s="36" t="str">
        <x:v>human_goal_oriented</x:v>
      </x:c>
      <x:c r="G88" s="36" t="str">
        <x:v>train</x:v>
      </x:c>
      <x:c r="H88" s="36" t="str">
        <x:v>中等</x:v>
      </x:c>
      <x:c r="I88" s="36" t="str">
        <x:v>2bd59342-0664-4ccb-ba87-79379096cc08</x:v>
      </x:c>
      <x:c r="J88" s="36" t="str">
        <x:v>CTX_2bd59342-0664-4ccb-ba87-79379096cc08</x:v>
      </x:c>
      <x:c r="K88" s="36" t="str">
        <x:v>STM_2bd59342-0664-4ccb-ba87-79379096cc08</x:v>
      </x:c>
      <x:c r="L88" s="36" t="str"/>
      <x:c r="M88" s="36" t="str"/>
      <x:c r="N88" s="36" t="str">
        <x:v>工作流程</x:v>
      </x:c>
      <x:c r="O88" s="36" t="str">
        <x:v>短期</x:v>
      </x:c>
      <x:c r="P88" s="36" t="str">
        <x:v>["libreoffice_calc"]</x:v>
      </x:c>
      <x:c r="Q88" s="36" t="str">
        <x:v>[{"step_id":"S1","app":"libreoffice_calc","action_key":"create_order_sparklines","input_artifacts":["OrderId_Month_Chart.xlsx"],"output_artifacts":["OrderId_Month_Chart.xlsx"],"depends_on":[]}]</x:v>
      </x:c>
      <x:c r="R88" s="36" t="str">
        <x:v>[]</x:v>
      </x:c>
      <x:c r="S88" s="36" t="str">
        <x:v>create_order_sparklines</x:v>
      </x:c>
      <x:c r="T88" s="36" t="str">
        <x:v>OrderId_Month_Chart.xlsx</x:v>
      </x:c>
      <x:c r="U88" s="36" t="str">
        <x:v>retrieve_and_execute</x:v>
      </x:c>
      <x:c r="V88" s="36" t="str">
        <x:v>[{"point_id":"P1","description":"主要处理方式与预期动作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x:v>
      </x:c>
      <x:c r="W88" s="36" t="str">
        <x:v>1.00</x:v>
      </x:c>
      <x:c r="X88" s="39" t="str">
        <x:v>我想在每个订单旁边直接看到前三个月走势，帮我用 Jan、Feb、Mar 做 sparkline。</x:v>
      </x:c>
      <x:c r="Y88" s="39" t="str">
        <x:v>第1条记忆（短期/工作流程）：在 OrderId_Month_Chart.xlsx 的 Chart 列中，为每个订单编号使用 1 月至 3 月数据创建迷你图。关键约束：每个 Order ID 一张迷你图；数据范围仅为 Jan-Mar；结果位于 Chart 列。</x:v>
      </x:c>
      <x:c r="Z88" s="39" t="str">
        <x:v>不适用：当前题目不存在需要用户进一步选择的候选记忆。</x:v>
      </x:c>
      <x:c r="AA88" s="39" t="str">
        <x:v>不适用：当前题目没有指定需要排除的冲突或禁止记忆。</x:v>
      </x:c>
      <x:c r="AB88" s="39" t="str">
        <x:v>应执行以下操作：在 OrderId_Month_Chart.xlsx 的 Chart 列中，为每个订单编号使用 1 月至 3 月数据创建迷你图。</x:v>
      </x:c>
      <x:c r="AC88" s="39" t="str">
        <x:v>第1项实际操作：在 OrderId_Month_Chart.xlsx 的 Chart 列中，为每个订单编号使用 1 月至 3 月数据创建迷你图。执行时必须满足：每个 Order ID 一张迷你图；数据范围仅为 Jan-Mar；结果位于 Chart 列。</x:v>
      </x:c>
      <x:c r="AD88" s="39" t="str">
        <x:v>用户的完整请求是：“我想在每个订单旁边直接看到前三个月走势，帮我用 Jan、Feb、Mar 做 sparkline。”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x:v>
      </x:c>
      <x:c r="AE8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88" s="50" t="str">
        <x:v>not_pass</x:v>
      </x:c>
      <x:c r="AG88" s="50" t="n">
        <x:v>0</x:v>
      </x:c>
    </x:row>
    <x:row r="89" ht="175.5" customHeight="1">
      <x:c r="A89" s="35" t="str">
        <x:v>2bd59342-0664-4ccb-ba87-79379096cc08_HQ3</x:v>
      </x:c>
      <x:c r="B89" s="36" t="str">
        <x:v>SG_TASK_2bd59342-0664-4ccb-ba87-79379096cc08</x:v>
      </x:c>
      <x:c r="C89" s="36" t="str">
        <x:v>2bd59342-0664-4ccb-ba87-79379096cc08</x:v>
      </x:c>
      <x:c r="D89" s="36" t="str">
        <x:v>OrderId_Month_Chart.xlsx</x:v>
      </x:c>
      <x:c r="E89" s="36" t="str">
        <x:v>single_memory</x:v>
      </x:c>
      <x:c r="F89" s="36" t="str">
        <x:v>contextual_ellipsis</x:v>
      </x:c>
      <x:c r="G89" s="36" t="str">
        <x:v>train</x:v>
      </x:c>
      <x:c r="H89" s="36" t="str">
        <x:v>中等</x:v>
      </x:c>
      <x:c r="I89" s="36" t="str">
        <x:v>2bd59342-0664-4ccb-ba87-79379096cc08</x:v>
      </x:c>
      <x:c r="J89" s="36" t="str">
        <x:v>CTX_2bd59342-0664-4ccb-ba87-79379096cc08</x:v>
      </x:c>
      <x:c r="K89" s="36" t="str">
        <x:v>STM_2bd59342-0664-4ccb-ba87-79379096cc08</x:v>
      </x:c>
      <x:c r="L89" s="36" t="str"/>
      <x:c r="M89" s="36" t="str"/>
      <x:c r="N89" s="36" t="str">
        <x:v>工作流程</x:v>
      </x:c>
      <x:c r="O89" s="36" t="str">
        <x:v>短期</x:v>
      </x:c>
      <x:c r="P89" s="36" t="str">
        <x:v>["libreoffice_calc"]</x:v>
      </x:c>
      <x:c r="Q89" s="36" t="str">
        <x:v>[{"step_id":"S1","app":"libreoffice_calc","action_key":"create_order_sparklines","input_artifacts":["OrderId_Month_Chart.xlsx"],"output_artifacts":["OrderId_Month_Chart.xlsx"],"depends_on":[]}]</x:v>
      </x:c>
      <x:c r="R89" s="36" t="str">
        <x:v>[]</x:v>
      </x:c>
      <x:c r="S89" s="36" t="str">
        <x:v>create_order_sparklines</x:v>
      </x:c>
      <x:c r="T89" s="36" t="str">
        <x:v>OrderId_Month_Chart.xlsx</x:v>
      </x:c>
      <x:c r="U89" s="36" t="str">
        <x:v>retrieve_and_execute</x:v>
      </x:c>
      <x:c r="V89" s="36" t="str">
        <x:v>[{"point_id":"P1","description":"主要处理方式与预期动作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x:v>
      </x:c>
      <x:c r="W89" s="36" t="str">
        <x:v>1.00</x:v>
      </x:c>
      <x:c r="X89" s="39" t="str">
        <x:v>当前订单表继续补 Chart 那一列，每个 ID 都要有自己的小趋势图。</x:v>
      </x:c>
      <x:c r="Y89" s="39" t="str">
        <x:v>第1条记忆（短期/工作流程）：在 OrderId_Month_Chart.xlsx 的 Chart 列中，为每个订单编号使用 1 月至 3 月数据创建迷你图。关键约束：每个 Order ID 一张迷你图；数据范围仅为 Jan-Mar；结果位于 Chart 列。</x:v>
      </x:c>
      <x:c r="Z89" s="39" t="str">
        <x:v>不适用：当前题目不存在需要用户进一步选择的候选记忆。</x:v>
      </x:c>
      <x:c r="AA89" s="39" t="str">
        <x:v>不适用：当前题目没有指定需要排除的冲突或禁止记忆。</x:v>
      </x:c>
      <x:c r="AB89" s="39" t="str">
        <x:v>应执行以下操作：在 OrderId_Month_Chart.xlsx 的 Chart 列中，为每个订单编号使用 1 月至 3 月数据创建迷你图。</x:v>
      </x:c>
      <x:c r="AC89" s="39" t="str">
        <x:v>第1项实际操作：在 OrderId_Month_Chart.xlsx 的 Chart 列中，为每个订单编号使用 1 月至 3 月数据创建迷你图。执行时必须满足：每个 Order ID 一张迷你图；数据范围仅为 Jan-Mar；结果位于 Chart 列。</x:v>
      </x:c>
      <x:c r="AD89" s="39" t="str">
        <x:v>用户的完整请求是：“当前订单表继续补 Chart 那一列，每个 ID 都要有自己的小趋势图。”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x:v>
      </x:c>
      <x:c r="AE8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89" s="50" t="str">
        <x:v>not_pass</x:v>
      </x:c>
      <x:c r="AG89" s="50" t="n">
        <x:v>0</x:v>
      </x:c>
    </x:row>
    <x:row r="90" ht="175.5" customHeight="1">
      <x:c r="A90" s="35" t="str">
        <x:v>2bd59342-0664-4ccb-ba87-79379096cc08_HQ4</x:v>
      </x:c>
      <x:c r="B90" s="36" t="str">
        <x:v>SG_TASK_2bd59342-0664-4ccb-ba87-79379096cc08</x:v>
      </x:c>
      <x:c r="C90" s="36" t="str">
        <x:v>2bd59342-0664-4ccb-ba87-79379096cc08</x:v>
      </x:c>
      <x:c r="D90" s="36" t="str">
        <x:v>OrderId_Month_Chart.xlsx</x:v>
      </x:c>
      <x:c r="E90" s="36" t="str">
        <x:v>single_memory</x:v>
      </x:c>
      <x:c r="F90" s="36" t="str">
        <x:v>low_overlap_paraphrase</x:v>
      </x:c>
      <x:c r="G90" s="36" t="str">
        <x:v>train</x:v>
      </x:c>
      <x:c r="H90" s="36" t="str">
        <x:v>困难</x:v>
      </x:c>
      <x:c r="I90" s="36" t="str">
        <x:v>2bd59342-0664-4ccb-ba87-79379096cc08</x:v>
      </x:c>
      <x:c r="J90" s="36" t="str">
        <x:v>CTX_2bd59342-0664-4ccb-ba87-79379096cc08</x:v>
      </x:c>
      <x:c r="K90" s="36" t="str">
        <x:v>STM_2bd59342-0664-4ccb-ba87-79379096cc08</x:v>
      </x:c>
      <x:c r="L90" s="36" t="str"/>
      <x:c r="M90" s="36" t="str"/>
      <x:c r="N90" s="36" t="str">
        <x:v>工作流程</x:v>
      </x:c>
      <x:c r="O90" s="36" t="str">
        <x:v>短期</x:v>
      </x:c>
      <x:c r="P90" s="36" t="str">
        <x:v>["libreoffice_calc"]</x:v>
      </x:c>
      <x:c r="Q90" s="36" t="str">
        <x:v>[{"step_id":"S1","app":"libreoffice_calc","action_key":"create_order_sparklines","input_artifacts":["OrderId_Month_Chart.xlsx"],"output_artifacts":["OrderId_Month_Chart.xlsx"],"depends_on":[]}]</x:v>
      </x:c>
      <x:c r="R90" s="36" t="str">
        <x:v>[]</x:v>
      </x:c>
      <x:c r="S90" s="36" t="str">
        <x:v>create_order_sparklines</x:v>
      </x:c>
      <x:c r="T90" s="36" t="str">
        <x:v>OrderId_Month_Chart.xlsx</x:v>
      </x:c>
      <x:c r="U90" s="36" t="str">
        <x:v>retrieve_and_execute</x:v>
      </x:c>
      <x:c r="V90" s="36" t="str">
        <x:v>[{"point_id":"P1","description":"主要处理方式与预期动作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x:v>
      </x:c>
      <x:c r="W90" s="36" t="str">
        <x:v>1.00</x:v>
      </x:c>
      <x:c r="X90" s="39" t="str">
        <x:v>不用另开大图，把每条订单一季度的变化压成单元格里的迷你趋势即可。</x:v>
      </x:c>
      <x:c r="Y90" s="39" t="str">
        <x:v>第1条记忆（短期/工作流程）：在 OrderId_Month_Chart.xlsx 的 Chart 列中，为每个订单编号使用 1 月至 3 月数据创建迷你图。关键约束：每个 Order ID 一张迷你图；数据范围仅为 Jan-Mar；结果位于 Chart 列。</x:v>
      </x:c>
      <x:c r="Z90" s="39" t="str">
        <x:v>不适用：当前题目不存在需要用户进一步选择的候选记忆。</x:v>
      </x:c>
      <x:c r="AA90" s="39" t="str">
        <x:v>不适用：当前题目没有指定需要排除的冲突或禁止记忆。</x:v>
      </x:c>
      <x:c r="AB90" s="39" t="str">
        <x:v>应执行以下操作：在 OrderId_Month_Chart.xlsx 的 Chart 列中，为每个订单编号使用 1 月至 3 月数据创建迷你图。</x:v>
      </x:c>
      <x:c r="AC90" s="39" t="str">
        <x:v>第1项实际操作：在 OrderId_Month_Chart.xlsx 的 Chart 列中，为每个订单编号使用 1 月至 3 月数据创建迷你图。执行时必须满足：每个 Order ID 一张迷你图；数据范围仅为 Jan-Mar；结果位于 Chart 列。</x:v>
      </x:c>
      <x:c r="AD90" s="39" t="str">
        <x:v>用户的完整请求是：“不用另开大图，把每条订单一季度的变化压成单元格里的迷你趋势即可。”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x:v>
      </x:c>
      <x:c r="AE9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90" s="50" t="str">
        <x:v>not_pass</x:v>
      </x:c>
      <x:c r="AG90" s="50" t="n">
        <x:v>0</x:v>
      </x:c>
    </x:row>
    <x:row r="91" ht="175.5" customHeight="1">
      <x:c r="A91" s="35" t="str">
        <x:v>2bd59342-0664-4ccb-ba87-79379096cc08_HQ5</x:v>
      </x:c>
      <x:c r="B91" s="36" t="str">
        <x:v>SG_TASK_2bd59342-0664-4ccb-ba87-79379096cc08</x:v>
      </x:c>
      <x:c r="C91" s="36" t="str">
        <x:v>2bd59342-0664-4ccb-ba87-79379096cc08</x:v>
      </x:c>
      <x:c r="D91" s="36" t="str">
        <x:v>OrderId_Month_Chart.xlsx</x:v>
      </x:c>
      <x:c r="E91" s="36" t="str">
        <x:v>single_memory</x:v>
      </x:c>
      <x:c r="F91" s="36" t="str">
        <x:v>human_constraint_emphasis</x:v>
      </x:c>
      <x:c r="G91" s="36" t="str">
        <x:v>train</x:v>
      </x:c>
      <x:c r="H91" s="36" t="str">
        <x:v>困难</x:v>
      </x:c>
      <x:c r="I91" s="36" t="str">
        <x:v>2bd59342-0664-4ccb-ba87-79379096cc08</x:v>
      </x:c>
      <x:c r="J91" s="36" t="str">
        <x:v>CTX_2bd59342-0664-4ccb-ba87-79379096cc08</x:v>
      </x:c>
      <x:c r="K91" s="36" t="str">
        <x:v>STM_2bd59342-0664-4ccb-ba87-79379096cc08</x:v>
      </x:c>
      <x:c r="L91" s="36" t="str"/>
      <x:c r="M91" s="36" t="str"/>
      <x:c r="N91" s="36" t="str">
        <x:v>工作流程</x:v>
      </x:c>
      <x:c r="O91" s="36" t="str">
        <x:v>短期</x:v>
      </x:c>
      <x:c r="P91" s="36" t="str">
        <x:v>["libreoffice_calc"]</x:v>
      </x:c>
      <x:c r="Q91" s="36" t="str">
        <x:v>[{"step_id":"S1","app":"libreoffice_calc","action_key":"create_order_sparklines","input_artifacts":["OrderId_Month_Chart.xlsx"],"output_artifacts":["OrderId_Month_Chart.xlsx"],"depends_on":[]}]</x:v>
      </x:c>
      <x:c r="R91" s="36" t="str">
        <x:v>[]</x:v>
      </x:c>
      <x:c r="S91" s="36" t="str">
        <x:v>create_order_sparklines</x:v>
      </x:c>
      <x:c r="T91" s="36" t="str">
        <x:v>OrderId_Month_Chart.xlsx</x:v>
      </x:c>
      <x:c r="U91" s="36" t="str">
        <x:v>retrieve_and_execute</x:v>
      </x:c>
      <x:c r="V91" s="36" t="str">
        <x:v>[{"point_id":"P1","description":"主要处理方式与预期动作 create_order_sparklines 语义一致","weight":0.4,"evidence_memory_ids":["STM_2bd59342-0664-4ccb-ba87-79379096cc08"]},{"point_id":"P2","description":"正确定位目标对象 OrderId_Month_Chart.xlsx","weight":0.2,"evidence_memory_ids":["STM_2bd59342-0664-4ccb-ba87-79379096cc08"]},{"point_id":"P3","description":"满足关键条件：每个 Order ID 一张迷你图；数据范围仅为 Jan-Mar；结果位于 Chart 列","weight":0.3,"evidence_memory_ids":["STM_2bd59342-0664-4ccb-ba87-79379096cc08"]},{"point_id":"P4","description":"不增加无记忆证据支持的操作","weight":0.1,"evidence_memory_ids":["STM_2bd59342-0664-4ccb-ba87-79379096cc08"]}]</x:v>
      </x:c>
      <x:c r="W91" s="36" t="str">
        <x:v>1.00</x:v>
      </x:c>
      <x:c r="X91" s="39" t="str">
        <x:v>Chart 列按 Order ID 逐行生成 Jan-Mar sparkline，月份范围别多也别少。</x:v>
      </x:c>
      <x:c r="Y91" s="39" t="str">
        <x:v>第1条记忆（短期/工作流程）：在 OrderId_Month_Chart.xlsx 的 Chart 列中，为每个订单编号使用 1 月至 3 月数据创建迷你图。关键约束：每个 Order ID 一张迷你图；数据范围仅为 Jan-Mar；结果位于 Chart 列。</x:v>
      </x:c>
      <x:c r="Z91" s="39" t="str">
        <x:v>不适用：当前题目不存在需要用户进一步选择的候选记忆。</x:v>
      </x:c>
      <x:c r="AA91" s="39" t="str">
        <x:v>不适用：当前题目没有指定需要排除的冲突或禁止记忆。</x:v>
      </x:c>
      <x:c r="AB91" s="39" t="str">
        <x:v>应执行以下操作：在 OrderId_Month_Chart.xlsx 的 Chart 列中，为每个订单编号使用 1 月至 3 月数据创建迷你图。</x:v>
      </x:c>
      <x:c r="AC91" s="39" t="str">
        <x:v>第1项实际操作：在 OrderId_Month_Chart.xlsx 的 Chart 列中，为每个订单编号使用 1 月至 3 月数据创建迷你图。执行时必须满足：每个 Order ID 一张迷你图；数据范围仅为 Jan-Mar；结果位于 Chart 列。</x:v>
      </x:c>
      <x:c r="AD91" s="39" t="str">
        <x:v>用户的完整请求是：“Chart 列按 Order ID 逐行生成 Jan-Mar sparkline，月份范围别多也别少。” 第1个当前上下文：OrderId_Month_Chart.xlsx 已在 LibreOffice Calc 中打开。 当前请求是在已有办公上下文中继续、复用或重新强调既有处理方式。与该请求唯一对应的完整必需记忆如下：
第1条记忆（短期/工作流程）：在 OrderId_Month_Chart.xlsx 的 Chart 列中，为每个订单编号使用 1 月至 3 月数据创建迷你图。关键约束：每个 Order ID 一张迷你图；数据范围仅为 Jan-Mar；结果位于 Chart 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OrderId_Month_Chart.xlsx 的 Chart 列中，为每个订单编号使用 1 月至 3 月数据创建迷你图。”</x:v>
      </x:c>
      <x:c r="AE9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第2个得分点（0.20分）：正确定位目标对象 OrderId_Month_Chart.xlsx。该得分点所依据的完整证据为：
第1条记忆（短期/工作流程）：在 OrderId_Month_Chart.xlsx 的 Chart 列中，为每个订单编号使用 1 月至 3 月数据创建迷你图。关键约束：每个 Order ID 一张迷你图；数据范围仅为 Jan-Mar；结果位于 Chart 列。
第3个得分点（0.30分）：满足关键条件：每个 Order ID 一张迷你图；数据范围仅为 Jan-Mar；结果位于 Chart 列。该得分点所依据的完整证据为：
第1条记忆（短期/工作流程）：在 OrderId_Month_Chart.xlsx 的 Chart 列中，为每个订单编号使用 1 月至 3 月数据创建迷你图。关键约束：每个 Order ID 一张迷你图；数据范围仅为 Jan-Mar；结果位于 Chart 列。
第4个得分点（0.10分）：不增加无记忆证据支持的操作。该得分点所依据的完整证据为：
第1条记忆（短期/工作流程）：在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91" s="50" t="str">
        <x:v>not_pass</x:v>
      </x:c>
      <x:c r="AG91" s="50" t="n">
        <x:v>0</x:v>
      </x:c>
    </x:row>
    <x:row r="92" ht="216" customHeight="1">
      <x:c r="A92" s="35" t="str">
        <x:v>30e3e107-1cfb-46ee-a755-2cd080d7ba6a_HQ1</x:v>
      </x:c>
      <x:c r="B92" s="36" t="str">
        <x:v>SG_TASK_30e3e107-1cfb-46ee-a755-2cd080d7ba6a</x:v>
      </x:c>
      <x:c r="C92" s="36" t="str">
        <x:v>30e3e107-1cfb-46ee-a755-2cd080d7ba6a</x:v>
      </x:c>
      <x:c r="D92" s="36" t="str">
        <x:v>DemographicProfile.xlsx</x:v>
      </x:c>
      <x:c r="E92" s="36" t="str">
        <x:v>single_memory</x:v>
      </x:c>
      <x:c r="F92" s="36" t="str">
        <x:v>human_context_explicit</x:v>
      </x:c>
      <x:c r="G92" s="36" t="str">
        <x:v>dev</x:v>
      </x:c>
      <x:c r="H92" s="36" t="str">
        <x:v>简单</x:v>
      </x:c>
      <x:c r="I92" s="36" t="str">
        <x:v>30e3e107-1cfb-46ee-a755-2cd080d7ba6a</x:v>
      </x:c>
      <x:c r="J92" s="36" t="str">
        <x:v>CTX_30e3e107-1cfb-46ee-a755-2cd080d7ba6a</x:v>
      </x:c>
      <x:c r="K92" s="36" t="str">
        <x:v>STM_30e3e107-1cfb-46ee-a755-2cd080d7ba6a</x:v>
      </x:c>
      <x:c r="L92" s="36" t="str"/>
      <x:c r="M92" s="36" t="str"/>
      <x:c r="N92" s="36" t="str">
        <x:v>工作流程</x:v>
      </x:c>
      <x:c r="O92" s="36" t="str">
        <x:v>短期</x:v>
      </x:c>
      <x:c r="P92" s="36" t="str">
        <x:v>["libreoffice_calc"]</x:v>
      </x:c>
      <x:c r="Q92" s="36" t="str">
        <x:v>[{"step_id":"S1","app":"libreoffice_calc","action_key":"build_demographic_profile_pivots","input_artifacts":["DemographicProfile.xlsx"],"output_artifacts":["DemographicProfile.xlsx"],"depends_on":[]}]</x:v>
      </x:c>
      <x:c r="R92" s="36" t="str">
        <x:v>[]</x:v>
      </x:c>
      <x:c r="S92" s="36" t="str">
        <x:v>build_demographic_profile_pivots</x:v>
      </x:c>
      <x:c r="T92" s="36" t="str">
        <x:v>DemographicProfile.xlsx</x:v>
      </x:c>
      <x:c r="U92" s="36" t="str">
        <x:v>retrieve_and_execute</x:v>
      </x:c>
      <x:c r="V92" s="36" t="str">
        <x:v>[{"point_id":"P1","description":"主要处理方式与预期动作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x:v>
      </x:c>
      <x:c r="W92" s="36" t="str">
        <x:v>1.00</x:v>
      </x:c>
      <x:c r="X92" s="39" t="str">
        <x:v>DemographicProfile.xlsx 的人口画像页按上次模板做：蓝色总标题下面依次放三张百分比透视表。</x:v>
      </x:c>
      <x:c r="Y92"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x:v>
      </x:c>
      <x:c r="Z92" s="39" t="str">
        <x:v>不适用：当前题目不存在需要用户进一步选择的候选记忆。</x:v>
      </x:c>
      <x:c r="AA92" s="39" t="str">
        <x:v>不适用：当前题目没有指定需要排除的冲突或禁止记忆。</x:v>
      </x:c>
      <x:c r="AB92" s="39" t="str">
        <x:v>应执行以下操作：在 DemographicProfile.xlsx 新建 Sheet2，合并 A1:C1 写入 Demographic Profile，设置蓝色填充和白色粗体；随后依次创建 Sex、Civil Status、Highest Educational Attainment 三张百分比数据透视表，表间留一空行。</x:v>
      </x:c>
      <x:c r="AC92"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x:v>
      </x:c>
      <x:c r="AD92" s="39" t="str">
        <x:v>用户的完整请求是：“DemographicProfile.xlsx 的人口画像页按上次模板做：蓝色总标题下面依次放三张百分比透视表。”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x:v>
      </x:c>
      <x:c r="AE9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x:v>
      </x:c>
      <x:c r="AF92" s="50" t="str">
        <x:v>not_pass</x:v>
      </x:c>
      <x:c r="AG92" s="50" t="n">
        <x:v>0</x:v>
      </x:c>
    </x:row>
    <x:row r="93" ht="216" customHeight="1">
      <x:c r="A93" s="35" t="str">
        <x:v>30e3e107-1cfb-46ee-a755-2cd080d7ba6a_HQ2</x:v>
      </x:c>
      <x:c r="B93" s="36" t="str">
        <x:v>SG_TASK_30e3e107-1cfb-46ee-a755-2cd080d7ba6a</x:v>
      </x:c>
      <x:c r="C93" s="36" t="str">
        <x:v>30e3e107-1cfb-46ee-a755-2cd080d7ba6a</x:v>
      </x:c>
      <x:c r="D93" s="36" t="str">
        <x:v>DemographicProfile.xlsx</x:v>
      </x:c>
      <x:c r="E93" s="36" t="str">
        <x:v>single_memory</x:v>
      </x:c>
      <x:c r="F93" s="36" t="str">
        <x:v>human_goal_oriented</x:v>
      </x:c>
      <x:c r="G93" s="36" t="str">
        <x:v>dev</x:v>
      </x:c>
      <x:c r="H93" s="36" t="str">
        <x:v>中等</x:v>
      </x:c>
      <x:c r="I93" s="36" t="str">
        <x:v>30e3e107-1cfb-46ee-a755-2cd080d7ba6a</x:v>
      </x:c>
      <x:c r="J93" s="36" t="str">
        <x:v>CTX_30e3e107-1cfb-46ee-a755-2cd080d7ba6a</x:v>
      </x:c>
      <x:c r="K93" s="36" t="str">
        <x:v>STM_30e3e107-1cfb-46ee-a755-2cd080d7ba6a</x:v>
      </x:c>
      <x:c r="L93" s="36" t="str"/>
      <x:c r="M93" s="36" t="str"/>
      <x:c r="N93" s="36" t="str">
        <x:v>工作流程</x:v>
      </x:c>
      <x:c r="O93" s="36" t="str">
        <x:v>短期</x:v>
      </x:c>
      <x:c r="P93" s="36" t="str">
        <x:v>["libreoffice_calc"]</x:v>
      </x:c>
      <x:c r="Q93" s="36" t="str">
        <x:v>[{"step_id":"S1","app":"libreoffice_calc","action_key":"build_demographic_profile_pivots","input_artifacts":["DemographicProfile.xlsx"],"output_artifacts":["DemographicProfile.xlsx"],"depends_on":[]}]</x:v>
      </x:c>
      <x:c r="R93" s="36" t="str">
        <x:v>[]</x:v>
      </x:c>
      <x:c r="S93" s="36" t="str">
        <x:v>build_demographic_profile_pivots</x:v>
      </x:c>
      <x:c r="T93" s="36" t="str">
        <x:v>DemographicProfile.xlsx</x:v>
      </x:c>
      <x:c r="U93" s="36" t="str">
        <x:v>retrieve_and_execute</x:v>
      </x:c>
      <x:c r="V93" s="36" t="str">
        <x:v>[{"point_id":"P1","description":"主要处理方式与预期动作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x:v>
      </x:c>
      <x:c r="W93" s="36" t="str">
        <x:v>1.00</x:v>
      </x:c>
      <x:c r="X93" s="39" t="str">
        <x:v>我要汇报性别、婚姻状态和最高学历的占比，帮我在 Sheet2 竖着排好，每块中间空一行。</x:v>
      </x:c>
      <x:c r="Y93"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x:v>
      </x:c>
      <x:c r="Z93" s="39" t="str">
        <x:v>不适用：当前题目不存在需要用户进一步选择的候选记忆。</x:v>
      </x:c>
      <x:c r="AA93" s="39" t="str">
        <x:v>不适用：当前题目没有指定需要排除的冲突或禁止记忆。</x:v>
      </x:c>
      <x:c r="AB93" s="39" t="str">
        <x:v>应执行以下操作：在 DemographicProfile.xlsx 新建 Sheet2，合并 A1:C1 写入 Demographic Profile，设置蓝色填充和白色粗体；随后依次创建 Sex、Civil Status、Highest Educational Attainment 三张百分比数据透视表，表间留一空行。</x:v>
      </x:c>
      <x:c r="AC93"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x:v>
      </x:c>
      <x:c r="AD93" s="39" t="str">
        <x:v>用户的完整请求是：“我要汇报性别、婚姻状态和最高学历的占比，帮我在 Sheet2 竖着排好，每块中间空一行。”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x:v>
      </x:c>
      <x:c r="AE9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x:v>
      </x:c>
      <x:c r="AF93" s="50" t="str">
        <x:v>not_pass</x:v>
      </x:c>
      <x:c r="AG93" s="50" t="n">
        <x:v>0</x:v>
      </x:c>
    </x:row>
    <x:row r="94" ht="216" customHeight="1">
      <x:c r="A94" s="35" t="str">
        <x:v>30e3e107-1cfb-46ee-a755-2cd080d7ba6a_HQ3</x:v>
      </x:c>
      <x:c r="B94" s="36" t="str">
        <x:v>SG_TASK_30e3e107-1cfb-46ee-a755-2cd080d7ba6a</x:v>
      </x:c>
      <x:c r="C94" s="36" t="str">
        <x:v>30e3e107-1cfb-46ee-a755-2cd080d7ba6a</x:v>
      </x:c>
      <x:c r="D94" s="36" t="str">
        <x:v>DemographicProfile.xlsx</x:v>
      </x:c>
      <x:c r="E94" s="36" t="str">
        <x:v>single_memory</x:v>
      </x:c>
      <x:c r="F94" s="36" t="str">
        <x:v>contextual_ellipsis</x:v>
      </x:c>
      <x:c r="G94" s="36" t="str">
        <x:v>dev</x:v>
      </x:c>
      <x:c r="H94" s="36" t="str">
        <x:v>中等</x:v>
      </x:c>
      <x:c r="I94" s="36" t="str">
        <x:v>30e3e107-1cfb-46ee-a755-2cd080d7ba6a</x:v>
      </x:c>
      <x:c r="J94" s="36" t="str">
        <x:v>CTX_30e3e107-1cfb-46ee-a755-2cd080d7ba6a</x:v>
      </x:c>
      <x:c r="K94" s="36" t="str">
        <x:v>STM_30e3e107-1cfb-46ee-a755-2cd080d7ba6a</x:v>
      </x:c>
      <x:c r="L94" s="36" t="str"/>
      <x:c r="M94" s="36" t="str"/>
      <x:c r="N94" s="36" t="str">
        <x:v>工作流程</x:v>
      </x:c>
      <x:c r="O94" s="36" t="str">
        <x:v>短期</x:v>
      </x:c>
      <x:c r="P94" s="36" t="str">
        <x:v>["libreoffice_calc"]</x:v>
      </x:c>
      <x:c r="Q94" s="36" t="str">
        <x:v>[{"step_id":"S1","app":"libreoffice_calc","action_key":"build_demographic_profile_pivots","input_artifacts":["DemographicProfile.xlsx"],"output_artifacts":["DemographicProfile.xlsx"],"depends_on":[]}]</x:v>
      </x:c>
      <x:c r="R94" s="36" t="str">
        <x:v>[]</x:v>
      </x:c>
      <x:c r="S94" s="36" t="str">
        <x:v>build_demographic_profile_pivots</x:v>
      </x:c>
      <x:c r="T94" s="36" t="str">
        <x:v>DemographicProfile.xlsx</x:v>
      </x:c>
      <x:c r="U94" s="36" t="str">
        <x:v>retrieve_and_execute</x:v>
      </x:c>
      <x:c r="V94" s="36" t="str">
        <x:v>[{"point_id":"P1","description":"主要处理方式与预期动作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x:v>
      </x:c>
      <x:c r="W94" s="36" t="str">
        <x:v>1.00</x:v>
      </x:c>
      <x:c r="X94" s="39" t="str">
        <x:v>当前人口数据继续搭画像页，标题区还是 A1:C1 的蓝底白字粗体。</x:v>
      </x:c>
      <x:c r="Y94"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x:v>
      </x:c>
      <x:c r="Z94" s="39" t="str">
        <x:v>不适用：当前题目不存在需要用户进一步选择的候选记忆。</x:v>
      </x:c>
      <x:c r="AA94" s="39" t="str">
        <x:v>不适用：当前题目没有指定需要排除的冲突或禁止记忆。</x:v>
      </x:c>
      <x:c r="AB94" s="39" t="str">
        <x:v>应执行以下操作：在 DemographicProfile.xlsx 新建 Sheet2，合并 A1:C1 写入 Demographic Profile，设置蓝色填充和白色粗体；随后依次创建 Sex、Civil Status、Highest Educational Attainment 三张百分比数据透视表，表间留一空行。</x:v>
      </x:c>
      <x:c r="AC94"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x:v>
      </x:c>
      <x:c r="AD94" s="39" t="str">
        <x:v>用户的完整请求是：“当前人口数据继续搭画像页，标题区还是 A1:C1 的蓝底白字粗体。”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x:v>
      </x:c>
      <x:c r="AE9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x:v>
      </x:c>
      <x:c r="AF94" s="50" t="str">
        <x:v>not_pass</x:v>
      </x:c>
      <x:c r="AG94" s="50" t="n">
        <x:v>0</x:v>
      </x:c>
    </x:row>
    <x:row r="95" ht="216" customHeight="1">
      <x:c r="A95" s="35" t="str">
        <x:v>30e3e107-1cfb-46ee-a755-2cd080d7ba6a_HQ4</x:v>
      </x:c>
      <x:c r="B95" s="36" t="str">
        <x:v>SG_TASK_30e3e107-1cfb-46ee-a755-2cd080d7ba6a</x:v>
      </x:c>
      <x:c r="C95" s="36" t="str">
        <x:v>30e3e107-1cfb-46ee-a755-2cd080d7ba6a</x:v>
      </x:c>
      <x:c r="D95" s="36" t="str">
        <x:v>DemographicProfile.xlsx</x:v>
      </x:c>
      <x:c r="E95" s="36" t="str">
        <x:v>single_memory</x:v>
      </x:c>
      <x:c r="F95" s="36" t="str">
        <x:v>low_overlap_paraphrase</x:v>
      </x:c>
      <x:c r="G95" s="36" t="str">
        <x:v>dev</x:v>
      </x:c>
      <x:c r="H95" s="36" t="str">
        <x:v>困难</x:v>
      </x:c>
      <x:c r="I95" s="36" t="str">
        <x:v>30e3e107-1cfb-46ee-a755-2cd080d7ba6a</x:v>
      </x:c>
      <x:c r="J95" s="36" t="str">
        <x:v>CTX_30e3e107-1cfb-46ee-a755-2cd080d7ba6a</x:v>
      </x:c>
      <x:c r="K95" s="36" t="str">
        <x:v>STM_30e3e107-1cfb-46ee-a755-2cd080d7ba6a</x:v>
      </x:c>
      <x:c r="L95" s="36" t="str"/>
      <x:c r="M95" s="36" t="str"/>
      <x:c r="N95" s="36" t="str">
        <x:v>工作流程</x:v>
      </x:c>
      <x:c r="O95" s="36" t="str">
        <x:v>短期</x:v>
      </x:c>
      <x:c r="P95" s="36" t="str">
        <x:v>["libreoffice_calc"]</x:v>
      </x:c>
      <x:c r="Q95" s="36" t="str">
        <x:v>[{"step_id":"S1","app":"libreoffice_calc","action_key":"build_demographic_profile_pivots","input_artifacts":["DemographicProfile.xlsx"],"output_artifacts":["DemographicProfile.xlsx"],"depends_on":[]}]</x:v>
      </x:c>
      <x:c r="R95" s="36" t="str">
        <x:v>[]</x:v>
      </x:c>
      <x:c r="S95" s="36" t="str">
        <x:v>build_demographic_profile_pivots</x:v>
      </x:c>
      <x:c r="T95" s="36" t="str">
        <x:v>DemographicProfile.xlsx</x:v>
      </x:c>
      <x:c r="U95" s="36" t="str">
        <x:v>retrieve_and_execute</x:v>
      </x:c>
      <x:c r="V95" s="36" t="str">
        <x:v>[{"point_id":"P1","description":"主要处理方式与预期动作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x:v>
      </x:c>
      <x:c r="W95" s="36" t="str">
        <x:v>1.00</x:v>
      </x:c>
      <x:c r="X95" s="39" t="str">
        <x:v>把这份人员资料整理成一页概览：上面是 Demographic Profile，下面分三部分展示结构比例。</x:v>
      </x:c>
      <x:c r="Y95"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x:v>
      </x:c>
      <x:c r="Z95" s="39" t="str">
        <x:v>不适用：当前题目不存在需要用户进一步选择的候选记忆。</x:v>
      </x:c>
      <x:c r="AA95" s="39" t="str">
        <x:v>不适用：当前题目没有指定需要排除的冲突或禁止记忆。</x:v>
      </x:c>
      <x:c r="AB95" s="39" t="str">
        <x:v>应执行以下操作：在 DemographicProfile.xlsx 新建 Sheet2，合并 A1:C1 写入 Demographic Profile，设置蓝色填充和白色粗体；随后依次创建 Sex、Civil Status、Highest Educational Attainment 三张百分比数据透视表，表间留一空行。</x:v>
      </x:c>
      <x:c r="AC95"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x:v>
      </x:c>
      <x:c r="AD95" s="39" t="str">
        <x:v>用户的完整请求是：“把这份人员资料整理成一页概览：上面是 Demographic Profile，下面分三部分展示结构比例。”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x:v>
      </x:c>
      <x:c r="AE9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x:v>
      </x:c>
      <x:c r="AF95" s="50" t="str">
        <x:v>not_pass</x:v>
      </x:c>
      <x:c r="AG95" s="50" t="n">
        <x:v>0</x:v>
      </x:c>
    </x:row>
    <x:row r="96" ht="216" customHeight="1">
      <x:c r="A96" s="35" t="str">
        <x:v>30e3e107-1cfb-46ee-a755-2cd080d7ba6a_HQ5</x:v>
      </x:c>
      <x:c r="B96" s="36" t="str">
        <x:v>SG_TASK_30e3e107-1cfb-46ee-a755-2cd080d7ba6a</x:v>
      </x:c>
      <x:c r="C96" s="36" t="str">
        <x:v>30e3e107-1cfb-46ee-a755-2cd080d7ba6a</x:v>
      </x:c>
      <x:c r="D96" s="36" t="str">
        <x:v>DemographicProfile.xlsx</x:v>
      </x:c>
      <x:c r="E96" s="36" t="str">
        <x:v>single_memory</x:v>
      </x:c>
      <x:c r="F96" s="36" t="str">
        <x:v>human_constraint_emphasis</x:v>
      </x:c>
      <x:c r="G96" s="36" t="str">
        <x:v>dev</x:v>
      </x:c>
      <x:c r="H96" s="36" t="str">
        <x:v>困难</x:v>
      </x:c>
      <x:c r="I96" s="36" t="str">
        <x:v>30e3e107-1cfb-46ee-a755-2cd080d7ba6a</x:v>
      </x:c>
      <x:c r="J96" s="36" t="str">
        <x:v>CTX_30e3e107-1cfb-46ee-a755-2cd080d7ba6a</x:v>
      </x:c>
      <x:c r="K96" s="36" t="str">
        <x:v>STM_30e3e107-1cfb-46ee-a755-2cd080d7ba6a</x:v>
      </x:c>
      <x:c r="L96" s="36" t="str"/>
      <x:c r="M96" s="36" t="str"/>
      <x:c r="N96" s="36" t="str">
        <x:v>工作流程</x:v>
      </x:c>
      <x:c r="O96" s="36" t="str">
        <x:v>短期</x:v>
      </x:c>
      <x:c r="P96" s="36" t="str">
        <x:v>["libreoffice_calc"]</x:v>
      </x:c>
      <x:c r="Q96" s="36" t="str">
        <x:v>[{"step_id":"S1","app":"libreoffice_calc","action_key":"build_demographic_profile_pivots","input_artifacts":["DemographicProfile.xlsx"],"output_artifacts":["DemographicProfile.xlsx"],"depends_on":[]}]</x:v>
      </x:c>
      <x:c r="R96" s="36" t="str">
        <x:v>[]</x:v>
      </x:c>
      <x:c r="S96" s="36" t="str">
        <x:v>build_demographic_profile_pivots</x:v>
      </x:c>
      <x:c r="T96" s="36" t="str">
        <x:v>DemographicProfile.xlsx</x:v>
      </x:c>
      <x:c r="U96" s="36" t="str">
        <x:v>retrieve_and_execute</x:v>
      </x:c>
      <x:c r="V96" s="36" t="str">
        <x:v>[{"point_id":"P1","description":"主要处理方式与预期动作 build_demographic_profile_pivots 语义一致","weight":0.4,"evidence_memory_ids":["STM_30e3e107-1cfb-46ee-a755-2cd080d7ba6a"]},{"point_id":"P2","description":"正确定位目标对象 DemographicProfile.xlsx","weight":0.2,"evidence_memory_ids":["STM_30e3e107-1cfb-46ee-a755-2cd080d7ba6a"]},{"point_id":"P3","description":"满足关键条件：标题格式为蓝底白色粗体；三张透视表按指定顺序纵向排列；每表间隔一空行","weight":0.3,"evidence_memory_ids":["STM_30e3e107-1cfb-46ee-a755-2cd080d7ba6a"]},{"point_id":"P4","description":"不增加无记忆证据支持的操作","weight":0.1,"evidence_memory_ids":["STM_30e3e107-1cfb-46ee-a755-2cd080d7ba6a"]}]</x:v>
      </x:c>
      <x:c r="W96" s="36" t="str">
        <x:v>1.00</x:v>
      </x:c>
      <x:c r="X96" s="39" t="str">
        <x:v>Sex、Civil Status、Highest Educational Attainment 三张 Pivot 按顺序放 Sheet2，版式别变。</x:v>
      </x:c>
      <x:c r="Y96"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x:v>
      </x:c>
      <x:c r="Z96" s="39" t="str">
        <x:v>不适用：当前题目不存在需要用户进一步选择的候选记忆。</x:v>
      </x:c>
      <x:c r="AA96" s="39" t="str">
        <x:v>不适用：当前题目没有指定需要排除的冲突或禁止记忆。</x:v>
      </x:c>
      <x:c r="AB96" s="39" t="str">
        <x:v>应执行以下操作：在 DemographicProfile.xlsx 新建 Sheet2，合并 A1:C1 写入 Demographic Profile，设置蓝色填充和白色粗体；随后依次创建 Sex、Civil Status、Highest Educational Attainment 三张百分比数据透视表，表间留一空行。</x:v>
      </x:c>
      <x:c r="AC96"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x:v>
      </x:c>
      <x:c r="AD96" s="39" t="str">
        <x:v>用户的完整请求是：“Sex、Civil Status、Highest Educational Attainment 三张 Pivot 按顺序放 Sheet2，版式别变。” 第1个当前上下文：DemographicProfile.xlsx 已在 LibreOffice Calc 中打开。 当前请求是在已有办公上下文中继续、复用或重新强调既有处理方式。与该请求唯一对应的完整必需记忆如下：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DemographicProfile.xlsx 新建 Sheet2，合并 A1:C1 写入 Demographic Profile，设置蓝色填充和白色粗体；随后依次创建 Sex、Civil Status、Highest Educational Attainment 三张百分比数据透视表，表间留一空行。”</x:v>
      </x:c>
      <x:c r="AE9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第2个得分点（0.20分）：正确定位目标对象 DemographicProfile.xlsx。该得分点所依据的完整证据为：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第3个得分点（0.30分）：满足关键条件：标题格式为蓝底白色粗体；三张透视表按指定顺序纵向排列；每表间隔一空行。该得分点所依据的完整证据为：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第4个得分点（0.10分）：不增加无记忆证据支持的操作。该得分点所依据的完整证据为：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人工复审时，应依据模型最终给出的信息和实际操作是否满足上述每个得分点分别给分；只命中记忆 ID 但没有形成对应结论不能获得该结论分，形成了正确结论但表达方式不同则不应扣分。</x:v>
      </x:c>
      <x:c r="AF96" s="50" t="str">
        <x:v>not_pass</x:v>
      </x:c>
      <x:c r="AG96" s="50" t="n">
        <x:v>0</x:v>
      </x:c>
    </x:row>
    <x:row r="97" ht="189" customHeight="1">
      <x:c r="A97" s="35" t="str">
        <x:v>347ef137-7eeb-4c80-a3bb-0951f26a8aff_HQ1</x:v>
      </x:c>
      <x:c r="B97" s="36" t="str">
        <x:v>SG_TASK_347ef137-7eeb-4c80-a3bb-0951f26a8aff</x:v>
      </x:c>
      <x:c r="C97" s="36" t="str">
        <x:v>347ef137-7eeb-4c80-a3bb-0951f26a8aff</x:v>
      </x:c>
      <x:c r="D97" s="36" t="str">
        <x:v>Create_column_charts_using_statistics.xlsx</x:v>
      </x:c>
      <x:c r="E97" s="36" t="str">
        <x:v>single_memory</x:v>
      </x:c>
      <x:c r="F97" s="36" t="str">
        <x:v>human_context_explicit</x:v>
      </x:c>
      <x:c r="G97" s="36" t="str">
        <x:v>train</x:v>
      </x:c>
      <x:c r="H97" s="36" t="str">
        <x:v>简单</x:v>
      </x:c>
      <x:c r="I97" s="36" t="str">
        <x:v>347ef137-7eeb-4c80-a3bb-0951f26a8aff</x:v>
      </x:c>
      <x:c r="J97" s="36" t="str">
        <x:v>CTX_347ef137-7eeb-4c80-a3bb-0951f26a8aff</x:v>
      </x:c>
      <x:c r="K97" s="36" t="str">
        <x:v>MTM_347ef137-7eeb-4c80-a3bb-0951f26a8aff</x:v>
      </x:c>
      <x:c r="L97" s="36" t="str"/>
      <x:c r="M97" s="36" t="str"/>
      <x:c r="N97" s="36" t="str">
        <x:v>可复用模板</x:v>
      </x:c>
      <x:c r="O97" s="36" t="str">
        <x:v>中期</x:v>
      </x:c>
      <x:c r="P97" s="36" t="str">
        <x:v>["libreoffice_calc"]</x:v>
      </x:c>
      <x:c r="Q97" s="36" t="str">
        <x:v>[{"step_id":"S1","app":"libreoffice_calc","action_key":"create_yearly_monthly_cost_charts","input_artifacts":["Create_column_charts_using_statistics.xlsx"],"output_artifacts":["Create_column_charts_using_statistics.xlsx"],"depends_on":[]}]</x:v>
      </x:c>
      <x:c r="R97" s="36" t="str">
        <x:v>[]</x:v>
      </x:c>
      <x:c r="S97" s="36" t="str">
        <x:v>create_yearly_monthly_cost_charts</x:v>
      </x:c>
      <x:c r="T97" s="36" t="str">
        <x:v>Create_column_charts_using_statistics.xlsx</x:v>
      </x:c>
      <x:c r="U97" s="36" t="str">
        <x:v>retrieve_and_execute</x:v>
      </x:c>
      <x:c r="V97" s="36" t="str">
        <x:v>[{"point_id":"P1","description":"主要处理方式与预期动作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x:v>
      </x:c>
      <x:c r="W97" s="36" t="str">
        <x:v>1.00</x:v>
      </x:c>
      <x:c r="X97" s="39" t="str">
        <x:v>这份月度成本表按之前的年度双图方案处理，2019和2020各做一张柱形图。</x:v>
      </x:c>
      <x:c r="Y97"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x:v>
      </x:c>
      <x:c r="Z97" s="39" t="str">
        <x:v>不适用：当前题目不存在需要用户进一步选择的候选记忆。</x:v>
      </x:c>
      <x:c r="AA97" s="39" t="str">
        <x:v>不适用：当前题目没有指定需要排除的冲突或禁止记忆。</x:v>
      </x:c>
      <x:c r="AB97" s="39" t="str">
        <x:v>应执行以下操作：在 Create_column_charts_using_statistics.xlsx 中分别汇总 2019 年和 2020 年每个月的总成本，并为两个年份各创建一张柱形图。</x:v>
      </x:c>
      <x:c r="AC97" s="39" t="str">
        <x:v>第1项实际操作：在 Create_column_charts_using_statistics.xlsx 中分别汇总 2019 年和 2020 年每个月的总成本，并为两个年份各创建一张柱形图。执行时必须满足：2019 和 2020 分别成图；每张图展示各月总成本；不得合并成一张图。</x:v>
      </x:c>
      <x:c r="AD97" s="39" t="str">
        <x:v>用户的完整请求是：“这份月度成本表按之前的年度双图方案处理，2019和2020各做一张柱形图。”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x:v>
      </x:c>
      <x:c r="AE9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x:v>
      </x:c>
      <x:c r="AF97" s="50" t="str">
        <x:v>not_pass</x:v>
      </x:c>
      <x:c r="AG97" s="50" t="n">
        <x:v>0</x:v>
      </x:c>
    </x:row>
    <x:row r="98" ht="189" customHeight="1">
      <x:c r="A98" s="35" t="str">
        <x:v>347ef137-7eeb-4c80-a3bb-0951f26a8aff_HQ2</x:v>
      </x:c>
      <x:c r="B98" s="36" t="str">
        <x:v>SG_TASK_347ef137-7eeb-4c80-a3bb-0951f26a8aff</x:v>
      </x:c>
      <x:c r="C98" s="36" t="str">
        <x:v>347ef137-7eeb-4c80-a3bb-0951f26a8aff</x:v>
      </x:c>
      <x:c r="D98" s="36" t="str">
        <x:v>Create_column_charts_using_statistics.xlsx</x:v>
      </x:c>
      <x:c r="E98" s="36" t="str">
        <x:v>single_memory</x:v>
      </x:c>
      <x:c r="F98" s="36" t="str">
        <x:v>human_goal_oriented</x:v>
      </x:c>
      <x:c r="G98" s="36" t="str">
        <x:v>train</x:v>
      </x:c>
      <x:c r="H98" s="36" t="str">
        <x:v>中等</x:v>
      </x:c>
      <x:c r="I98" s="36" t="str">
        <x:v>347ef137-7eeb-4c80-a3bb-0951f26a8aff</x:v>
      </x:c>
      <x:c r="J98" s="36" t="str">
        <x:v>CTX_347ef137-7eeb-4c80-a3bb-0951f26a8aff</x:v>
      </x:c>
      <x:c r="K98" s="36" t="str">
        <x:v>MTM_347ef137-7eeb-4c80-a3bb-0951f26a8aff</x:v>
      </x:c>
      <x:c r="L98" s="36" t="str"/>
      <x:c r="M98" s="36" t="str"/>
      <x:c r="N98" s="36" t="str">
        <x:v>可复用模板</x:v>
      </x:c>
      <x:c r="O98" s="36" t="str">
        <x:v>中期</x:v>
      </x:c>
      <x:c r="P98" s="36" t="str">
        <x:v>["libreoffice_calc"]</x:v>
      </x:c>
      <x:c r="Q98" s="36" t="str">
        <x:v>[{"step_id":"S1","app":"libreoffice_calc","action_key":"create_yearly_monthly_cost_charts","input_artifacts":["Create_column_charts_using_statistics.xlsx"],"output_artifacts":["Create_column_charts_using_statistics.xlsx"],"depends_on":[]}]</x:v>
      </x:c>
      <x:c r="R98" s="36" t="str">
        <x:v>[]</x:v>
      </x:c>
      <x:c r="S98" s="36" t="str">
        <x:v>create_yearly_monthly_cost_charts</x:v>
      </x:c>
      <x:c r="T98" s="36" t="str">
        <x:v>Create_column_charts_using_statistics.xlsx</x:v>
      </x:c>
      <x:c r="U98" s="36" t="str">
        <x:v>retrieve_and_execute</x:v>
      </x:c>
      <x:c r="V98" s="36" t="str">
        <x:v>[{"point_id":"P1","description":"主要处理方式与预期动作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x:v>
      </x:c>
      <x:c r="W98" s="36" t="str">
        <x:v>1.00</x:v>
      </x:c>
      <x:c r="X98" s="39" t="str">
        <x:v>我想分别比较两年的月度总成本，先按月加总，再给每一年单独画柱子。</x:v>
      </x:c>
      <x:c r="Y98"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x:v>
      </x:c>
      <x:c r="Z98" s="39" t="str">
        <x:v>不适用：当前题目不存在需要用户进一步选择的候选记忆。</x:v>
      </x:c>
      <x:c r="AA98" s="39" t="str">
        <x:v>不适用：当前题目没有指定需要排除的冲突或禁止记忆。</x:v>
      </x:c>
      <x:c r="AB98" s="39" t="str">
        <x:v>应执行以下操作：在 Create_column_charts_using_statistics.xlsx 中分别汇总 2019 年和 2020 年每个月的总成本，并为两个年份各创建一张柱形图。</x:v>
      </x:c>
      <x:c r="AC98" s="39" t="str">
        <x:v>第1项实际操作：在 Create_column_charts_using_statistics.xlsx 中分别汇总 2019 年和 2020 年每个月的总成本，并为两个年份各创建一张柱形图。执行时必须满足：2019 和 2020 分别成图；每张图展示各月总成本；不得合并成一张图。</x:v>
      </x:c>
      <x:c r="AD98" s="39" t="str">
        <x:v>用户的完整请求是：“我想分别比较两年的月度总成本，先按月加总，再给每一年单独画柱子。”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x:v>
      </x:c>
      <x:c r="AE9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x:v>
      </x:c>
      <x:c r="AF98" s="50" t="str">
        <x:v>not_pass</x:v>
      </x:c>
      <x:c r="AG98" s="50" t="n">
        <x:v>0</x:v>
      </x:c>
    </x:row>
    <x:row r="99" ht="189" customHeight="1">
      <x:c r="A99" s="35" t="str">
        <x:v>347ef137-7eeb-4c80-a3bb-0951f26a8aff_HQ3</x:v>
      </x:c>
      <x:c r="B99" s="36" t="str">
        <x:v>SG_TASK_347ef137-7eeb-4c80-a3bb-0951f26a8aff</x:v>
      </x:c>
      <x:c r="C99" s="36" t="str">
        <x:v>347ef137-7eeb-4c80-a3bb-0951f26a8aff</x:v>
      </x:c>
      <x:c r="D99" s="36" t="str">
        <x:v>Create_column_charts_using_statistics.xlsx</x:v>
      </x:c>
      <x:c r="E99" s="36" t="str">
        <x:v>single_memory</x:v>
      </x:c>
      <x:c r="F99" s="36" t="str">
        <x:v>contextual_ellipsis</x:v>
      </x:c>
      <x:c r="G99" s="36" t="str">
        <x:v>train</x:v>
      </x:c>
      <x:c r="H99" s="36" t="str">
        <x:v>中等</x:v>
      </x:c>
      <x:c r="I99" s="36" t="str">
        <x:v>347ef137-7eeb-4c80-a3bb-0951f26a8aff</x:v>
      </x:c>
      <x:c r="J99" s="36" t="str">
        <x:v>CTX_347ef137-7eeb-4c80-a3bb-0951f26a8aff</x:v>
      </x:c>
      <x:c r="K99" s="36" t="str">
        <x:v>MTM_347ef137-7eeb-4c80-a3bb-0951f26a8aff</x:v>
      </x:c>
      <x:c r="L99" s="36" t="str"/>
      <x:c r="M99" s="36" t="str"/>
      <x:c r="N99" s="36" t="str">
        <x:v>可复用模板</x:v>
      </x:c>
      <x:c r="O99" s="36" t="str">
        <x:v>中期</x:v>
      </x:c>
      <x:c r="P99" s="36" t="str">
        <x:v>["libreoffice_calc"]</x:v>
      </x:c>
      <x:c r="Q99" s="36" t="str">
        <x:v>[{"step_id":"S1","app":"libreoffice_calc","action_key":"create_yearly_monthly_cost_charts","input_artifacts":["Create_column_charts_using_statistics.xlsx"],"output_artifacts":["Create_column_charts_using_statistics.xlsx"],"depends_on":[]}]</x:v>
      </x:c>
      <x:c r="R99" s="36" t="str">
        <x:v>[]</x:v>
      </x:c>
      <x:c r="S99" s="36" t="str">
        <x:v>create_yearly_monthly_cost_charts</x:v>
      </x:c>
      <x:c r="T99" s="36" t="str">
        <x:v>Create_column_charts_using_statistics.xlsx</x:v>
      </x:c>
      <x:c r="U99" s="36" t="str">
        <x:v>retrieve_and_execute</x:v>
      </x:c>
      <x:c r="V99" s="36" t="str">
        <x:v>[{"point_id":"P1","description":"主要处理方式与预期动作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x:v>
      </x:c>
      <x:c r="W99" s="36" t="str">
        <x:v>1.00</x:v>
      </x:c>
      <x:c r="X99" s="39" t="str">
        <x:v>当前统计表继续做两张年度成本图，不要把两个年份混在同一张里。</x:v>
      </x:c>
      <x:c r="Y99"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x:v>
      </x:c>
      <x:c r="Z99" s="39" t="str">
        <x:v>不适用：当前题目不存在需要用户进一步选择的候选记忆。</x:v>
      </x:c>
      <x:c r="AA99" s="39" t="str">
        <x:v>不适用：当前题目没有指定需要排除的冲突或禁止记忆。</x:v>
      </x:c>
      <x:c r="AB99" s="39" t="str">
        <x:v>应执行以下操作：在 Create_column_charts_using_statistics.xlsx 中分别汇总 2019 年和 2020 年每个月的总成本，并为两个年份各创建一张柱形图。</x:v>
      </x:c>
      <x:c r="AC99" s="39" t="str">
        <x:v>第1项实际操作：在 Create_column_charts_using_statistics.xlsx 中分别汇总 2019 年和 2020 年每个月的总成本，并为两个年份各创建一张柱形图。执行时必须满足：2019 和 2020 分别成图；每张图展示各月总成本；不得合并成一张图。</x:v>
      </x:c>
      <x:c r="AD99" s="39" t="str">
        <x:v>用户的完整请求是：“当前统计表继续做两张年度成本图，不要把两个年份混在同一张里。”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x:v>
      </x:c>
      <x:c r="AE9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x:v>
      </x:c>
      <x:c r="AF99" s="50" t="str">
        <x:v>not_pass</x:v>
      </x:c>
      <x:c r="AG99" s="50" t="n">
        <x:v>0</x:v>
      </x:c>
    </x:row>
    <x:row r="100" ht="189" customHeight="1">
      <x:c r="A100" s="35" t="str">
        <x:v>347ef137-7eeb-4c80-a3bb-0951f26a8aff_HQ4</x:v>
      </x:c>
      <x:c r="B100" s="36" t="str">
        <x:v>SG_TASK_347ef137-7eeb-4c80-a3bb-0951f26a8aff</x:v>
      </x:c>
      <x:c r="C100" s="36" t="str">
        <x:v>347ef137-7eeb-4c80-a3bb-0951f26a8aff</x:v>
      </x:c>
      <x:c r="D100" s="36" t="str">
        <x:v>Create_column_charts_using_statistics.xlsx</x:v>
      </x:c>
      <x:c r="E100" s="36" t="str">
        <x:v>single_memory</x:v>
      </x:c>
      <x:c r="F100" s="36" t="str">
        <x:v>low_overlap_paraphrase</x:v>
      </x:c>
      <x:c r="G100" s="36" t="str">
        <x:v>train</x:v>
      </x:c>
      <x:c r="H100" s="36" t="str">
        <x:v>困难</x:v>
      </x:c>
      <x:c r="I100" s="36" t="str">
        <x:v>347ef137-7eeb-4c80-a3bb-0951f26a8aff</x:v>
      </x:c>
      <x:c r="J100" s="36" t="str">
        <x:v>CTX_347ef137-7eeb-4c80-a3bb-0951f26a8aff</x:v>
      </x:c>
      <x:c r="K100" s="36" t="str">
        <x:v>MTM_347ef137-7eeb-4c80-a3bb-0951f26a8aff</x:v>
      </x:c>
      <x:c r="L100" s="36" t="str"/>
      <x:c r="M100" s="36" t="str"/>
      <x:c r="N100" s="36" t="str">
        <x:v>可复用模板</x:v>
      </x:c>
      <x:c r="O100" s="36" t="str">
        <x:v>中期</x:v>
      </x:c>
      <x:c r="P100" s="36" t="str">
        <x:v>["libreoffice_calc"]</x:v>
      </x:c>
      <x:c r="Q100" s="36" t="str">
        <x:v>[{"step_id":"S1","app":"libreoffice_calc","action_key":"create_yearly_monthly_cost_charts","input_artifacts":["Create_column_charts_using_statistics.xlsx"],"output_artifacts":["Create_column_charts_using_statistics.xlsx"],"depends_on":[]}]</x:v>
      </x:c>
      <x:c r="R100" s="36" t="str">
        <x:v>[]</x:v>
      </x:c>
      <x:c r="S100" s="36" t="str">
        <x:v>create_yearly_monthly_cost_charts</x:v>
      </x:c>
      <x:c r="T100" s="36" t="str">
        <x:v>Create_column_charts_using_statistics.xlsx</x:v>
      </x:c>
      <x:c r="U100" s="36" t="str">
        <x:v>retrieve_and_execute</x:v>
      </x:c>
      <x:c r="V100" s="36" t="str">
        <x:v>[{"point_id":"P1","description":"主要处理方式与预期动作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x:v>
      </x:c>
      <x:c r="W100" s="36" t="str">
        <x:v>1.00</x:v>
      </x:c>
      <x:c r="X100" s="39" t="str">
        <x:v>汇报需要左右看两年的花费节奏，请把每年十二个月的合计各自可视化。</x:v>
      </x:c>
      <x:c r="Y100"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x:v>
      </x:c>
      <x:c r="Z100" s="39" t="str">
        <x:v>不适用：当前题目不存在需要用户进一步选择的候选记忆。</x:v>
      </x:c>
      <x:c r="AA100" s="39" t="str">
        <x:v>不适用：当前题目没有指定需要排除的冲突或禁止记忆。</x:v>
      </x:c>
      <x:c r="AB100" s="39" t="str">
        <x:v>应执行以下操作：在 Create_column_charts_using_statistics.xlsx 中分别汇总 2019 年和 2020 年每个月的总成本，并为两个年份各创建一张柱形图。</x:v>
      </x:c>
      <x:c r="AC100" s="39" t="str">
        <x:v>第1项实际操作：在 Create_column_charts_using_statistics.xlsx 中分别汇总 2019 年和 2020 年每个月的总成本，并为两个年份各创建一张柱形图。执行时必须满足：2019 和 2020 分别成图；每张图展示各月总成本；不得合并成一张图。</x:v>
      </x:c>
      <x:c r="AD100" s="39" t="str">
        <x:v>用户的完整请求是：“汇报需要左右看两年的花费节奏，请把每年十二个月的合计各自可视化。”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x:v>
      </x:c>
      <x:c r="AE10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x:v>
      </x:c>
      <x:c r="AF100" s="50" t="str">
        <x:v>not_pass</x:v>
      </x:c>
      <x:c r="AG100" s="50" t="n">
        <x:v>0</x:v>
      </x:c>
    </x:row>
    <x:row r="101" ht="189" customHeight="1">
      <x:c r="A101" s="35" t="str">
        <x:v>347ef137-7eeb-4c80-a3bb-0951f26a8aff_HQ5</x:v>
      </x:c>
      <x:c r="B101" s="36" t="str">
        <x:v>SG_TASK_347ef137-7eeb-4c80-a3bb-0951f26a8aff</x:v>
      </x:c>
      <x:c r="C101" s="36" t="str">
        <x:v>347ef137-7eeb-4c80-a3bb-0951f26a8aff</x:v>
      </x:c>
      <x:c r="D101" s="36" t="str">
        <x:v>Create_column_charts_using_statistics.xlsx</x:v>
      </x:c>
      <x:c r="E101" s="36" t="str">
        <x:v>single_memory</x:v>
      </x:c>
      <x:c r="F101" s="36" t="str">
        <x:v>human_constraint_emphasis</x:v>
      </x:c>
      <x:c r="G101" s="36" t="str">
        <x:v>train</x:v>
      </x:c>
      <x:c r="H101" s="36" t="str">
        <x:v>困难</x:v>
      </x:c>
      <x:c r="I101" s="36" t="str">
        <x:v>347ef137-7eeb-4c80-a3bb-0951f26a8aff</x:v>
      </x:c>
      <x:c r="J101" s="36" t="str">
        <x:v>CTX_347ef137-7eeb-4c80-a3bb-0951f26a8aff</x:v>
      </x:c>
      <x:c r="K101" s="36" t="str">
        <x:v>MTM_347ef137-7eeb-4c80-a3bb-0951f26a8aff</x:v>
      </x:c>
      <x:c r="L101" s="36" t="str"/>
      <x:c r="M101" s="36" t="str"/>
      <x:c r="N101" s="36" t="str">
        <x:v>可复用模板</x:v>
      </x:c>
      <x:c r="O101" s="36" t="str">
        <x:v>中期</x:v>
      </x:c>
      <x:c r="P101" s="36" t="str">
        <x:v>["libreoffice_calc"]</x:v>
      </x:c>
      <x:c r="Q101" s="36" t="str">
        <x:v>[{"step_id":"S1","app":"libreoffice_calc","action_key":"create_yearly_monthly_cost_charts","input_artifacts":["Create_column_charts_using_statistics.xlsx"],"output_artifacts":["Create_column_charts_using_statistics.xlsx"],"depends_on":[]}]</x:v>
      </x:c>
      <x:c r="R101" s="36" t="str">
        <x:v>[]</x:v>
      </x:c>
      <x:c r="S101" s="36" t="str">
        <x:v>create_yearly_monthly_cost_charts</x:v>
      </x:c>
      <x:c r="T101" s="36" t="str">
        <x:v>Create_column_charts_using_statistics.xlsx</x:v>
      </x:c>
      <x:c r="U101" s="36" t="str">
        <x:v>retrieve_and_execute</x:v>
      </x:c>
      <x:c r="V101" s="36" t="str">
        <x:v>[{"point_id":"P1","description":"主要处理方式与预期动作 create_yearly_monthly_cost_charts 语义一致","weight":0.4,"evidence_memory_ids":["MTM_347ef137-7eeb-4c80-a3bb-0951f26a8aff"]},{"point_id":"P2","description":"正确定位目标对象 Create_column_charts_using_statistics.xlsx","weight":0.2,"evidence_memory_ids":["MTM_347ef137-7eeb-4c80-a3bb-0951f26a8aff"]},{"point_id":"P3","description":"满足关键条件：2019 和 2020 分别成图；每张图展示各月总成本；不得合并成一张图","weight":0.3,"evidence_memory_ids":["MTM_347ef137-7eeb-4c80-a3bb-0951f26a8aff"]},{"point_id":"P4","description":"不增加无记忆证据支持的操作","weight":0.1,"evidence_memory_ids":["MTM_347ef137-7eeb-4c80-a3bb-0951f26a8aff"]}]</x:v>
      </x:c>
      <x:c r="W101" s="36" t="str">
        <x:v>1.00</x:v>
      </x:c>
      <x:c r="X101" s="39" t="str">
        <x:v>2019一张、2020一张，都是月度总成本柱形图，按之前的格式来。</x:v>
      </x:c>
      <x:c r="Y101"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x:v>
      </x:c>
      <x:c r="Z101" s="39" t="str">
        <x:v>不适用：当前题目不存在需要用户进一步选择的候选记忆。</x:v>
      </x:c>
      <x:c r="AA101" s="39" t="str">
        <x:v>不适用：当前题目没有指定需要排除的冲突或禁止记忆。</x:v>
      </x:c>
      <x:c r="AB101" s="39" t="str">
        <x:v>应执行以下操作：在 Create_column_charts_using_statistics.xlsx 中分别汇总 2019 年和 2020 年每个月的总成本，并为两个年份各创建一张柱形图。</x:v>
      </x:c>
      <x:c r="AC101" s="39" t="str">
        <x:v>第1项实际操作：在 Create_column_charts_using_statistics.xlsx 中分别汇总 2019 年和 2020 年每个月的总成本，并为两个年份各创建一张柱形图。执行时必须满足：2019 和 2020 分别成图；每张图展示各月总成本；不得合并成一张图。</x:v>
      </x:c>
      <x:c r="AD101" s="39" t="str">
        <x:v>用户的完整请求是：“2019一张、2020一张，都是月度总成本柱形图，按之前的格式来。” 第1个当前上下文：Create_column_charts_using_statistics.xlsx 已在 LibreOffice Calc 中打开。 当前请求是在已有办公上下文中继续、复用或重新强调既有处理方式。与该请求唯一对应的完整必需记忆如下：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Create_column_charts_using_statistics.xlsx 中分别汇总 2019 年和 2020 年每个月的总成本，并为两个年份各创建一张柱形图。”</x:v>
      </x:c>
      <x:c r="AE10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第2个得分点（0.20分）：正确定位目标对象 Create_column_charts_using_statistics.xlsx。该得分点所依据的完整证据为：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第3个得分点（0.30分）：满足关键条件：2019 和 2020 分别成图；每张图展示各月总成本；不得合并成一张图。该得分点所依据的完整证据为：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第4个得分点（0.10分）：不增加无记忆证据支持的操作。该得分点所依据的完整证据为：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人工复审时，应依据模型最终给出的信息和实际操作是否满足上述每个得分点分别给分；只命中记忆 ID 但没有形成对应结论不能获得该结论分，形成了正确结论但表达方式不同则不应扣分。</x:v>
      </x:c>
      <x:c r="AF101" s="50" t="str">
        <x:v>not_pass</x:v>
      </x:c>
      <x:c r="AG101" s="50" t="n">
        <x:v>0</x:v>
      </x:c>
    </x:row>
    <x:row r="102" ht="175.5" customHeight="1">
      <x:c r="A102" s="35" t="str">
        <x:v>357ef137-7eeb-4c80-a3bb-0951f26a8aff_HQ1</x:v>
      </x:c>
      <x:c r="B102" s="36" t="str">
        <x:v>SG_TASK_357ef137-7eeb-4c80-a3bb-0951f26a8aff</x:v>
      </x:c>
      <x:c r="C102" s="36" t="str">
        <x:v>357ef137-7eeb-4c80-a3bb-0951f26a8aff</x:v>
      </x:c>
      <x:c r="D102" s="36" t="str">
        <x:v>Multiply_Time_Number.xlsx</x:v>
      </x:c>
      <x:c r="E102" s="36" t="str">
        <x:v>single_memory</x:v>
      </x:c>
      <x:c r="F102" s="36" t="str">
        <x:v>human_context_explicit</x:v>
      </x:c>
      <x:c r="G102" s="36" t="str">
        <x:v>test</x:v>
      </x:c>
      <x:c r="H102" s="36" t="str">
        <x:v>简单</x:v>
      </x:c>
      <x:c r="I102" s="36" t="str">
        <x:v>357ef137-7eeb-4c80-a3bb-0951f26a8aff</x:v>
      </x:c>
      <x:c r="J102" s="36" t="str">
        <x:v>CTX_357ef137-7eeb-4c80-a3bb-0951f26a8aff</x:v>
      </x:c>
      <x:c r="K102" s="36" t="str">
        <x:v>STM_357ef137-7eeb-4c80-a3bb-0951f26a8aff</x:v>
      </x:c>
      <x:c r="L102" s="36" t="str"/>
      <x:c r="M102" s="36" t="str"/>
      <x:c r="N102" s="36" t="str">
        <x:v>知识</x:v>
      </x:c>
      <x:c r="O102" s="36" t="str">
        <x:v>短期</x:v>
      </x:c>
      <x:c r="P102" s="36" t="str">
        <x:v>["libreoffice_calc"]</x:v>
      </x:c>
      <x:c r="Q102" s="36" t="str">
        <x:v>[{"step_id":"S1","app":"libreoffice_calc","action_key":"calculate_earnings_from_time_and_rate","input_artifacts":["Multiply_Time_Number.xlsx"],"output_artifacts":["Multiply_Time_Number.xlsx"],"depends_on":[]}]</x:v>
      </x:c>
      <x:c r="R102" s="36" t="str">
        <x:v>[]</x:v>
      </x:c>
      <x:c r="S102" s="36" t="str">
        <x:v>calculate_earnings_from_time_and_rate</x:v>
      </x:c>
      <x:c r="T102" s="36" t="str">
        <x:v>Multiply_Time_Number.xlsx</x:v>
      </x:c>
      <x:c r="U102" s="36" t="str">
        <x:v>retrieve_and_execute</x:v>
      </x:c>
      <x:c r="V102" s="36" t="str">
        <x:v>[{"point_id":"P1","description":"主要处理方式与预期动作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x:v>
      </x:c>
      <x:c r="W102" s="36" t="str">
        <x:v>1.00</x:v>
      </x:c>
      <x:c r="X102" s="39" t="str">
        <x:v>Multiply_Time_Number.xlsx 里工时乘费率还是算不对，按之前的换算方法把总收入填到目标格。</x:v>
      </x:c>
      <x:c r="Y102"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Z102" s="39" t="str">
        <x:v>不适用：当前题目不存在需要用户进一步选择的候选记忆。</x:v>
      </x:c>
      <x:c r="AA102" s="39" t="str">
        <x:v>不适用：当前题目没有指定需要排除的冲突或禁止记忆。</x:v>
      </x:c>
      <x:c r="AB102" s="39" t="str">
        <x:v>应执行以下操作：在 Multiply_Time_Number.xlsx 中，先把以时间格式存储的总工时换算为小时数，再乘以小时费率，得到正确的总收入并填入目标单元格。</x:v>
      </x:c>
      <x:c r="AC102"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x:v>
      </x:c>
      <x:c r="AD102" s="39" t="str">
        <x:v>用户的完整请求是：“Multiply_Time_Number.xlsx 里工时乘费率还是算不对，按之前的换算方法把总收入填到目标格。”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x:v>
      </x:c>
      <x:c r="AE10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102" s="50" t="str">
        <x:v>not_pass</x:v>
      </x:c>
      <x:c r="AG102" s="50" t="n">
        <x:v>0</x:v>
      </x:c>
    </x:row>
    <x:row r="103" ht="175.5" customHeight="1">
      <x:c r="A103" s="35" t="str">
        <x:v>357ef137-7eeb-4c80-a3bb-0951f26a8aff_HQ2</x:v>
      </x:c>
      <x:c r="B103" s="36" t="str">
        <x:v>SG_TASK_357ef137-7eeb-4c80-a3bb-0951f26a8aff</x:v>
      </x:c>
      <x:c r="C103" s="36" t="str">
        <x:v>357ef137-7eeb-4c80-a3bb-0951f26a8aff</x:v>
      </x:c>
      <x:c r="D103" s="36" t="str">
        <x:v>Multiply_Time_Number.xlsx</x:v>
      </x:c>
      <x:c r="E103" s="36" t="str">
        <x:v>single_memory</x:v>
      </x:c>
      <x:c r="F103" s="36" t="str">
        <x:v>human_goal_oriented</x:v>
      </x:c>
      <x:c r="G103" s="36" t="str">
        <x:v>test</x:v>
      </x:c>
      <x:c r="H103" s="36" t="str">
        <x:v>中等</x:v>
      </x:c>
      <x:c r="I103" s="36" t="str">
        <x:v>357ef137-7eeb-4c80-a3bb-0951f26a8aff</x:v>
      </x:c>
      <x:c r="J103" s="36" t="str">
        <x:v>CTX_357ef137-7eeb-4c80-a3bb-0951f26a8aff</x:v>
      </x:c>
      <x:c r="K103" s="36" t="str">
        <x:v>STM_357ef137-7eeb-4c80-a3bb-0951f26a8aff</x:v>
      </x:c>
      <x:c r="L103" s="36" t="str"/>
      <x:c r="M103" s="36" t="str"/>
      <x:c r="N103" s="36" t="str">
        <x:v>知识</x:v>
      </x:c>
      <x:c r="O103" s="36" t="str">
        <x:v>短期</x:v>
      </x:c>
      <x:c r="P103" s="36" t="str">
        <x:v>["libreoffice_calc"]</x:v>
      </x:c>
      <x:c r="Q103" s="36" t="str">
        <x:v>[{"step_id":"S1","app":"libreoffice_calc","action_key":"calculate_earnings_from_time_and_rate","input_artifacts":["Multiply_Time_Number.xlsx"],"output_artifacts":["Multiply_Time_Number.xlsx"],"depends_on":[]}]</x:v>
      </x:c>
      <x:c r="R103" s="36" t="str">
        <x:v>[]</x:v>
      </x:c>
      <x:c r="S103" s="36" t="str">
        <x:v>calculate_earnings_from_time_and_rate</x:v>
      </x:c>
      <x:c r="T103" s="36" t="str">
        <x:v>Multiply_Time_Number.xlsx</x:v>
      </x:c>
      <x:c r="U103" s="36" t="str">
        <x:v>retrieve_and_execute</x:v>
      </x:c>
      <x:c r="V103" s="36" t="str">
        <x:v>[{"point_id":"P1","description":"主要处理方式与预期动作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x:v>
      </x:c>
      <x:c r="W103" s="36" t="str">
        <x:v>1.00</x:v>
      </x:c>
      <x:c r="X103" s="39" t="str">
        <x:v>这张表的总工时是时间格式，不是普通数字，帮我先换成小时再算应得金额。</x:v>
      </x:c>
      <x:c r="Y103"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Z103" s="39" t="str">
        <x:v>不适用：当前题目不存在需要用户进一步选择的候选记忆。</x:v>
      </x:c>
      <x:c r="AA103" s="39" t="str">
        <x:v>不适用：当前题目没有指定需要排除的冲突或禁止记忆。</x:v>
      </x:c>
      <x:c r="AB103" s="39" t="str">
        <x:v>应执行以下操作：在 Multiply_Time_Number.xlsx 中，先把以时间格式存储的总工时换算为小时数，再乘以小时费率，得到正确的总收入并填入目标单元格。</x:v>
      </x:c>
      <x:c r="AC103"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x:v>
      </x:c>
      <x:c r="AD103" s="39" t="str">
        <x:v>用户的完整请求是：“这张表的总工时是时间格式，不是普通数字，帮我先换成小时再算应得金额。”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x:v>
      </x:c>
      <x:c r="AE10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103" s="50" t="str">
        <x:v>not_pass</x:v>
      </x:c>
      <x:c r="AG103" s="50" t="n">
        <x:v>0</x:v>
      </x:c>
    </x:row>
    <x:row r="104" ht="175.5" customHeight="1">
      <x:c r="A104" s="35" t="str">
        <x:v>357ef137-7eeb-4c80-a3bb-0951f26a8aff_HQ3</x:v>
      </x:c>
      <x:c r="B104" s="36" t="str">
        <x:v>SG_TASK_357ef137-7eeb-4c80-a3bb-0951f26a8aff</x:v>
      </x:c>
      <x:c r="C104" s="36" t="str">
        <x:v>357ef137-7eeb-4c80-a3bb-0951f26a8aff</x:v>
      </x:c>
      <x:c r="D104" s="36" t="str">
        <x:v>Multiply_Time_Number.xlsx</x:v>
      </x:c>
      <x:c r="E104" s="36" t="str">
        <x:v>single_memory</x:v>
      </x:c>
      <x:c r="F104" s="36" t="str">
        <x:v>contextual_ellipsis</x:v>
      </x:c>
      <x:c r="G104" s="36" t="str">
        <x:v>test</x:v>
      </x:c>
      <x:c r="H104" s="36" t="str">
        <x:v>中等</x:v>
      </x:c>
      <x:c r="I104" s="36" t="str">
        <x:v>357ef137-7eeb-4c80-a3bb-0951f26a8aff</x:v>
      </x:c>
      <x:c r="J104" s="36" t="str">
        <x:v>CTX_357ef137-7eeb-4c80-a3bb-0951f26a8aff</x:v>
      </x:c>
      <x:c r="K104" s="36" t="str">
        <x:v>STM_357ef137-7eeb-4c80-a3bb-0951f26a8aff</x:v>
      </x:c>
      <x:c r="L104" s="36" t="str"/>
      <x:c r="M104" s="36" t="str"/>
      <x:c r="N104" s="36" t="str">
        <x:v>知识</x:v>
      </x:c>
      <x:c r="O104" s="36" t="str">
        <x:v>短期</x:v>
      </x:c>
      <x:c r="P104" s="36" t="str">
        <x:v>["libreoffice_calc"]</x:v>
      </x:c>
      <x:c r="Q104" s="36" t="str">
        <x:v>[{"step_id":"S1","app":"libreoffice_calc","action_key":"calculate_earnings_from_time_and_rate","input_artifacts":["Multiply_Time_Number.xlsx"],"output_artifacts":["Multiply_Time_Number.xlsx"],"depends_on":[]}]</x:v>
      </x:c>
      <x:c r="R104" s="36" t="str">
        <x:v>[]</x:v>
      </x:c>
      <x:c r="S104" s="36" t="str">
        <x:v>calculate_earnings_from_time_and_rate</x:v>
      </x:c>
      <x:c r="T104" s="36" t="str">
        <x:v>Multiply_Time_Number.xlsx</x:v>
      </x:c>
      <x:c r="U104" s="36" t="str">
        <x:v>retrieve_and_execute</x:v>
      </x:c>
      <x:c r="V104" s="36" t="str">
        <x:v>[{"point_id":"P1","description":"主要处理方式与预期动作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x:v>
      </x:c>
      <x:c r="W104" s="36" t="str">
        <x:v>1.00</x:v>
      </x:c>
      <x:c r="X104" s="39" t="str">
        <x:v>当前工资表继续处理那个时间乘单价的问题，只修正结果单元格。</x:v>
      </x:c>
      <x:c r="Y104"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Z104" s="39" t="str">
        <x:v>不适用：当前题目不存在需要用户进一步选择的候选记忆。</x:v>
      </x:c>
      <x:c r="AA104" s="39" t="str">
        <x:v>不适用：当前题目没有指定需要排除的冲突或禁止记忆。</x:v>
      </x:c>
      <x:c r="AB104" s="39" t="str">
        <x:v>应执行以下操作：在 Multiply_Time_Number.xlsx 中，先把以时间格式存储的总工时换算为小时数，再乘以小时费率，得到正确的总收入并填入目标单元格。</x:v>
      </x:c>
      <x:c r="AC104"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x:v>
      </x:c>
      <x:c r="AD104" s="39" t="str">
        <x:v>用户的完整请求是：“当前工资表继续处理那个时间乘单价的问题，只修正结果单元格。”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x:v>
      </x:c>
      <x:c r="AE10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104" s="50" t="str">
        <x:v>not_pass</x:v>
      </x:c>
      <x:c r="AG104" s="50" t="n">
        <x:v>0</x:v>
      </x:c>
    </x:row>
    <x:row r="105" ht="175.5" customHeight="1">
      <x:c r="A105" s="35" t="str">
        <x:v>357ef137-7eeb-4c80-a3bb-0951f26a8aff_HQ4</x:v>
      </x:c>
      <x:c r="B105" s="36" t="str">
        <x:v>SG_TASK_357ef137-7eeb-4c80-a3bb-0951f26a8aff</x:v>
      </x:c>
      <x:c r="C105" s="36" t="str">
        <x:v>357ef137-7eeb-4c80-a3bb-0951f26a8aff</x:v>
      </x:c>
      <x:c r="D105" s="36" t="str">
        <x:v>Multiply_Time_Number.xlsx</x:v>
      </x:c>
      <x:c r="E105" s="36" t="str">
        <x:v>single_memory</x:v>
      </x:c>
      <x:c r="F105" s="36" t="str">
        <x:v>low_overlap_paraphrase</x:v>
      </x:c>
      <x:c r="G105" s="36" t="str">
        <x:v>test</x:v>
      </x:c>
      <x:c r="H105" s="36" t="str">
        <x:v>困难</x:v>
      </x:c>
      <x:c r="I105" s="36" t="str">
        <x:v>357ef137-7eeb-4c80-a3bb-0951f26a8aff</x:v>
      </x:c>
      <x:c r="J105" s="36" t="str">
        <x:v>CTX_357ef137-7eeb-4c80-a3bb-0951f26a8aff</x:v>
      </x:c>
      <x:c r="K105" s="36" t="str">
        <x:v>STM_357ef137-7eeb-4c80-a3bb-0951f26a8aff</x:v>
      </x:c>
      <x:c r="L105" s="36" t="str"/>
      <x:c r="M105" s="36" t="str"/>
      <x:c r="N105" s="36" t="str">
        <x:v>知识</x:v>
      </x:c>
      <x:c r="O105" s="36" t="str">
        <x:v>短期</x:v>
      </x:c>
      <x:c r="P105" s="36" t="str">
        <x:v>["libreoffice_calc"]</x:v>
      </x:c>
      <x:c r="Q105" s="36" t="str">
        <x:v>[{"step_id":"S1","app":"libreoffice_calc","action_key":"calculate_earnings_from_time_and_rate","input_artifacts":["Multiply_Time_Number.xlsx"],"output_artifacts":["Multiply_Time_Number.xlsx"],"depends_on":[]}]</x:v>
      </x:c>
      <x:c r="R105" s="36" t="str">
        <x:v>[]</x:v>
      </x:c>
      <x:c r="S105" s="36" t="str">
        <x:v>calculate_earnings_from_time_and_rate</x:v>
      </x:c>
      <x:c r="T105" s="36" t="str">
        <x:v>Multiply_Time_Number.xlsx</x:v>
      </x:c>
      <x:c r="U105" s="36" t="str">
        <x:v>retrieve_and_execute</x:v>
      </x:c>
      <x:c r="V105" s="36" t="str">
        <x:v>[{"point_id":"P1","description":"主要处理方式与预期动作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x:v>
      </x:c>
      <x:c r="W105" s="36" t="str">
        <x:v>1.00</x:v>
      </x:c>
      <x:c r="X105" s="39" t="str">
        <x:v>我需要得到真实的工资总额，别直接拿底层时间值相乘，要按小时口径计算。</x:v>
      </x:c>
      <x:c r="Y105"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Z105" s="39" t="str">
        <x:v>不适用：当前题目不存在需要用户进一步选择的候选记忆。</x:v>
      </x:c>
      <x:c r="AA105" s="39" t="str">
        <x:v>不适用：当前题目没有指定需要排除的冲突或禁止记忆。</x:v>
      </x:c>
      <x:c r="AB105" s="39" t="str">
        <x:v>应执行以下操作：在 Multiply_Time_Number.xlsx 中，先把以时间格式存储的总工时换算为小时数，再乘以小时费率，得到正确的总收入并填入目标单元格。</x:v>
      </x:c>
      <x:c r="AC105"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x:v>
      </x:c>
      <x:c r="AD105" s="39" t="str">
        <x:v>用户的完整请求是：“我需要得到真实的工资总额，别直接拿底层时间值相乘，要按小时口径计算。”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x:v>
      </x:c>
      <x:c r="AE10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105" s="50" t="str">
        <x:v>not_pass</x:v>
      </x:c>
      <x:c r="AG105" s="50" t="n">
        <x:v>0</x:v>
      </x:c>
    </x:row>
    <x:row r="106" ht="175.5" customHeight="1">
      <x:c r="A106" s="35" t="str">
        <x:v>357ef137-7eeb-4c80-a3bb-0951f26a8aff_HQ5</x:v>
      </x:c>
      <x:c r="B106" s="36" t="str">
        <x:v>SG_TASK_357ef137-7eeb-4c80-a3bb-0951f26a8aff</x:v>
      </x:c>
      <x:c r="C106" s="36" t="str">
        <x:v>357ef137-7eeb-4c80-a3bb-0951f26a8aff</x:v>
      </x:c>
      <x:c r="D106" s="36" t="str">
        <x:v>Multiply_Time_Number.xlsx</x:v>
      </x:c>
      <x:c r="E106" s="36" t="str">
        <x:v>single_memory</x:v>
      </x:c>
      <x:c r="F106" s="36" t="str">
        <x:v>human_constraint_emphasis</x:v>
      </x:c>
      <x:c r="G106" s="36" t="str">
        <x:v>test</x:v>
      </x:c>
      <x:c r="H106" s="36" t="str">
        <x:v>困难</x:v>
      </x:c>
      <x:c r="I106" s="36" t="str">
        <x:v>357ef137-7eeb-4c80-a3bb-0951f26a8aff</x:v>
      </x:c>
      <x:c r="J106" s="36" t="str">
        <x:v>CTX_357ef137-7eeb-4c80-a3bb-0951f26a8aff</x:v>
      </x:c>
      <x:c r="K106" s="36" t="str">
        <x:v>STM_357ef137-7eeb-4c80-a3bb-0951f26a8aff</x:v>
      </x:c>
      <x:c r="L106" s="36" t="str"/>
      <x:c r="M106" s="36" t="str"/>
      <x:c r="N106" s="36" t="str">
        <x:v>知识</x:v>
      </x:c>
      <x:c r="O106" s="36" t="str">
        <x:v>短期</x:v>
      </x:c>
      <x:c r="P106" s="36" t="str">
        <x:v>["libreoffice_calc"]</x:v>
      </x:c>
      <x:c r="Q106" s="36" t="str">
        <x:v>[{"step_id":"S1","app":"libreoffice_calc","action_key":"calculate_earnings_from_time_and_rate","input_artifacts":["Multiply_Time_Number.xlsx"],"output_artifacts":["Multiply_Time_Number.xlsx"],"depends_on":[]}]</x:v>
      </x:c>
      <x:c r="R106" s="36" t="str">
        <x:v>[]</x:v>
      </x:c>
      <x:c r="S106" s="36" t="str">
        <x:v>calculate_earnings_from_time_and_rate</x:v>
      </x:c>
      <x:c r="T106" s="36" t="str">
        <x:v>Multiply_Time_Number.xlsx</x:v>
      </x:c>
      <x:c r="U106" s="36" t="str">
        <x:v>retrieve_and_execute</x:v>
      </x:c>
      <x:c r="V106" s="36" t="str">
        <x:v>[{"point_id":"P1","description":"主要处理方式与预期动作 calculate_earnings_from_time_and_rate 语义一致","weight":0.4,"evidence_memory_ids":["STM_357ef137-7eeb-4c80-a3bb-0951f26a8aff"]},{"point_id":"P2","description":"正确定位目标对象 Multiply_Time_Number.xlsx","weight":0.2,"evidence_memory_ids":["STM_357ef137-7eeb-4c80-a3bb-0951f26a8aff"]},{"point_id":"P3","description":"满足关键条件：不能直接把时间序列值当普通数值相乘；只填写目标结果；不修改无关空白区域","weight":0.3,"evidence_memory_ids":["STM_357ef137-7eeb-4c80-a3bb-0951f26a8aff"]},{"point_id":"P4","description":"不增加无记忆证据支持的操作","weight":0.1,"evidence_memory_ids":["STM_357ef137-7eeb-4c80-a3bb-0951f26a8aff"]}]</x:v>
      </x:c>
      <x:c r="W106" s="36" t="str">
        <x:v>1.00</x:v>
      </x:c>
      <x:c r="X106" s="39" t="str">
        <x:v>总工时先换算成小时再乘 hourly rate，填对结果后别碰其他空白区域。</x:v>
      </x:c>
      <x:c r="Y106"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Z106" s="39" t="str">
        <x:v>不适用：当前题目不存在需要用户进一步选择的候选记忆。</x:v>
      </x:c>
      <x:c r="AA106" s="39" t="str">
        <x:v>不适用：当前题目没有指定需要排除的冲突或禁止记忆。</x:v>
      </x:c>
      <x:c r="AB106" s="39" t="str">
        <x:v>应执行以下操作：在 Multiply_Time_Number.xlsx 中，先把以时间格式存储的总工时换算为小时数，再乘以小时费率，得到正确的总收入并填入目标单元格。</x:v>
      </x:c>
      <x:c r="AC106"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x:v>
      </x:c>
      <x:c r="AD106" s="39" t="str">
        <x:v>用户的完整请求是：“总工时先换算成小时再乘 hourly rate，填对结果后别碰其他空白区域。” 第1个当前上下文：Multiply_Time_Number.xlsx 已在 LibreOffice Calc 中打开。 当前请求是在已有办公上下文中继续、复用或重新强调既有处理方式。与该请求唯一对应的完整必需记忆如下：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Multiply_Time_Number.xlsx 中，先把以时间格式存储的总工时换算为小时数，再乘以小时费率，得到正确的总收入并填入目标单元格。”</x:v>
      </x:c>
      <x:c r="AE10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第2个得分点（0.20分）：正确定位目标对象 Multiply_Time_Number.xlsx。该得分点所依据的完整证据为：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第3个得分点（0.30分）：满足关键条件：不能直接把时间序列值当普通数值相乘；只填写目标结果；不修改无关空白区域。该得分点所依据的完整证据为：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第4个得分点（0.10分）：不增加无记忆证据支持的操作。该得分点所依据的完整证据为：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106" s="50" t="str">
        <x:v>not_pass</x:v>
      </x:c>
      <x:c r="AG106" s="50" t="n">
        <x:v>0</x:v>
      </x:c>
    </x:row>
    <x:row r="107" ht="175.5" customHeight="1">
      <x:c r="A107" s="35" t="str">
        <x:v>37608790-6147-45d0-9f20-1137bb35703d_HQ1</x:v>
      </x:c>
      <x:c r="B107" s="36" t="str">
        <x:v>SG_TASK_37608790-6147-45d0-9f20-1137bb35703d</x:v>
      </x:c>
      <x:c r="C107" s="36" t="str">
        <x:v>37608790-6147-45d0-9f20-1137bb35703d</x:v>
      </x:c>
      <x:c r="D107" s="36" t="str">
        <x:v>Employee_Roles_and_Ranks.xlsx</x:v>
      </x:c>
      <x:c r="E107" s="36" t="str">
        <x:v>single_memory</x:v>
      </x:c>
      <x:c r="F107" s="36" t="str">
        <x:v>human_context_explicit</x:v>
      </x:c>
      <x:c r="G107" s="36" t="str">
        <x:v>train</x:v>
      </x:c>
      <x:c r="H107" s="36" t="str">
        <x:v>简单</x:v>
      </x:c>
      <x:c r="I107" s="36" t="str">
        <x:v>37608790-6147-45d0-9f20-1137bb35703d</x:v>
      </x:c>
      <x:c r="J107" s="36" t="str">
        <x:v>CTX_37608790-6147-45d0-9f20-1137bb35703d</x:v>
      </x:c>
      <x:c r="K107" s="36" t="str">
        <x:v>STM_37608790-6147-45d0-9f20-1137bb35703d</x:v>
      </x:c>
      <x:c r="L107" s="36" t="str"/>
      <x:c r="M107" s="36" t="str"/>
      <x:c r="N107" s="36" t="str">
        <x:v>工作流程</x:v>
      </x:c>
      <x:c r="O107" s="36" t="str">
        <x:v>短期</x:v>
      </x:c>
      <x:c r="P107" s="36" t="str">
        <x:v>["libreoffice_calc"]</x:v>
      </x:c>
      <x:c r="Q107" s="36" t="str">
        <x:v>[{"step_id":"S1","app":"libreoffice_calc","action_key":"split_employee_identity_fields","input_artifacts":["Employee_Roles_and_Ranks.xlsx"],"output_artifacts":["Employee_Roles_and_Ranks.xlsx"],"depends_on":[]}]</x:v>
      </x:c>
      <x:c r="R107" s="36" t="str">
        <x:v>[]</x:v>
      </x:c>
      <x:c r="S107" s="36" t="str">
        <x:v>split_employee_identity_fields</x:v>
      </x:c>
      <x:c r="T107" s="36" t="str">
        <x:v>Employee_Roles_and_Ranks.xlsx</x:v>
      </x:c>
      <x:c r="U107" s="36" t="str">
        <x:v>retrieve_and_execute</x:v>
      </x:c>
      <x:c r="V107" s="36" t="str">
        <x:v>[{"point_id":"P1","description":"主要处理方式与预期动作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x:v>
      </x:c>
      <x:c r="W107" s="36" t="str">
        <x:v>1.00</x:v>
      </x:c>
      <x:c r="X107" s="39" t="str">
        <x:v>Employee_Roles_and_Ranks.xlsx 的人员信息按之前的拆分规则放到名字、姓氏和职级三列，原列保留。</x:v>
      </x:c>
      <x:c r="Y107" s="39" t="str">
        <x:v>第1条记忆（短期/工作流程）：在 Employee_Roles_and_Ranks.xlsx 中，把混在一个字段里的人员信息拆分，并分别填入 First Name、Last Name 和 Rank 列，同时保留原始数据。关键约束：拆成指定三列；原始混合字段不得修改或删除。</x:v>
      </x:c>
      <x:c r="Z107" s="39" t="str">
        <x:v>不适用：当前题目不存在需要用户进一步选择的候选记忆。</x:v>
      </x:c>
      <x:c r="AA107" s="39" t="str">
        <x:v>不适用：当前题目没有指定需要排除的冲突或禁止记忆。</x:v>
      </x:c>
      <x:c r="AB107" s="39" t="str">
        <x:v>应执行以下操作：在 Employee_Roles_and_Ranks.xlsx 中，把混在一个字段里的人员信息拆分，并分别填入 First Name、Last Name 和 Rank 列，同时保留原始数据。</x:v>
      </x:c>
      <x:c r="AC107" s="39" t="str">
        <x:v>第1项实际操作：在 Employee_Roles_and_Ranks.xlsx 中，把混在一个字段里的人员信息拆分，并分别填入 First Name、Last Name 和 Rank 列，同时保留原始数据。执行时必须满足：拆成指定三列；原始混合字段不得修改或删除。</x:v>
      </x:c>
      <x:c r="AD107" s="39" t="str">
        <x:v>用户的完整请求是：“Employee_Roles_and_Ranks.xlsx 的人员信息按之前的拆分规则放到名字、姓氏和职级三列，原列保留。”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x:v>
      </x:c>
      <x:c r="AE10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107" s="50" t="str">
        <x:v>not_pass</x:v>
      </x:c>
      <x:c r="AG107" s="50" t="n">
        <x:v>0</x:v>
      </x:c>
    </x:row>
    <x:row r="108" ht="175.5" customHeight="1">
      <x:c r="A108" s="35" t="str">
        <x:v>37608790-6147-45d0-9f20-1137bb35703d_HQ2</x:v>
      </x:c>
      <x:c r="B108" s="36" t="str">
        <x:v>SG_TASK_37608790-6147-45d0-9f20-1137bb35703d</x:v>
      </x:c>
      <x:c r="C108" s="36" t="str">
        <x:v>37608790-6147-45d0-9f20-1137bb35703d</x:v>
      </x:c>
      <x:c r="D108" s="36" t="str">
        <x:v>Employee_Roles_and_Ranks.xlsx</x:v>
      </x:c>
      <x:c r="E108" s="36" t="str">
        <x:v>single_memory</x:v>
      </x:c>
      <x:c r="F108" s="36" t="str">
        <x:v>human_goal_oriented</x:v>
      </x:c>
      <x:c r="G108" s="36" t="str">
        <x:v>train</x:v>
      </x:c>
      <x:c r="H108" s="36" t="str">
        <x:v>中等</x:v>
      </x:c>
      <x:c r="I108" s="36" t="str">
        <x:v>37608790-6147-45d0-9f20-1137bb35703d</x:v>
      </x:c>
      <x:c r="J108" s="36" t="str">
        <x:v>CTX_37608790-6147-45d0-9f20-1137bb35703d</x:v>
      </x:c>
      <x:c r="K108" s="36" t="str">
        <x:v>STM_37608790-6147-45d0-9f20-1137bb35703d</x:v>
      </x:c>
      <x:c r="L108" s="36" t="str"/>
      <x:c r="M108" s="36" t="str"/>
      <x:c r="N108" s="36" t="str">
        <x:v>工作流程</x:v>
      </x:c>
      <x:c r="O108" s="36" t="str">
        <x:v>短期</x:v>
      </x:c>
      <x:c r="P108" s="36" t="str">
        <x:v>["libreoffice_calc"]</x:v>
      </x:c>
      <x:c r="Q108" s="36" t="str">
        <x:v>[{"step_id":"S1","app":"libreoffice_calc","action_key":"split_employee_identity_fields","input_artifacts":["Employee_Roles_and_Ranks.xlsx"],"output_artifacts":["Employee_Roles_and_Ranks.xlsx"],"depends_on":[]}]</x:v>
      </x:c>
      <x:c r="R108" s="36" t="str">
        <x:v>[]</x:v>
      </x:c>
      <x:c r="S108" s="36" t="str">
        <x:v>split_employee_identity_fields</x:v>
      </x:c>
      <x:c r="T108" s="36" t="str">
        <x:v>Employee_Roles_and_Ranks.xlsx</x:v>
      </x:c>
      <x:c r="U108" s="36" t="str">
        <x:v>retrieve_and_execute</x:v>
      </x:c>
      <x:c r="V108" s="36" t="str">
        <x:v>[{"point_id":"P1","description":"主要处理方式与预期动作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x:v>
      </x:c>
      <x:c r="W108" s="36" t="str">
        <x:v>1.00</x:v>
      </x:c>
      <x:c r="X108" s="39" t="str">
        <x:v>这份员工表把姓名和 Rank 都挤在一起了，帮我拆开填到对应字段，但不要动原始内容。</x:v>
      </x:c>
      <x:c r="Y108" s="39" t="str">
        <x:v>第1条记忆（短期/工作流程）：在 Employee_Roles_and_Ranks.xlsx 中，把混在一个字段里的人员信息拆分，并分别填入 First Name、Last Name 和 Rank 列，同时保留原始数据。关键约束：拆成指定三列；原始混合字段不得修改或删除。</x:v>
      </x:c>
      <x:c r="Z108" s="39" t="str">
        <x:v>不适用：当前题目不存在需要用户进一步选择的候选记忆。</x:v>
      </x:c>
      <x:c r="AA108" s="39" t="str">
        <x:v>不适用：当前题目没有指定需要排除的冲突或禁止记忆。</x:v>
      </x:c>
      <x:c r="AB108" s="39" t="str">
        <x:v>应执行以下操作：在 Employee_Roles_and_Ranks.xlsx 中，把混在一个字段里的人员信息拆分，并分别填入 First Name、Last Name 和 Rank 列，同时保留原始数据。</x:v>
      </x:c>
      <x:c r="AC108" s="39" t="str">
        <x:v>第1项实际操作：在 Employee_Roles_and_Ranks.xlsx 中，把混在一个字段里的人员信息拆分，并分别填入 First Name、Last Name 和 Rank 列，同时保留原始数据。执行时必须满足：拆成指定三列；原始混合字段不得修改或删除。</x:v>
      </x:c>
      <x:c r="AD108" s="39" t="str">
        <x:v>用户的完整请求是：“这份员工表把姓名和 Rank 都挤在一起了，帮我拆开填到对应字段，但不要动原始内容。”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x:v>
      </x:c>
      <x:c r="AE10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108" s="50" t="str">
        <x:v>not_pass</x:v>
      </x:c>
      <x:c r="AG108" s="50" t="n">
        <x:v>0</x:v>
      </x:c>
    </x:row>
    <x:row r="109" ht="175.5" customHeight="1">
      <x:c r="A109" s="35" t="str">
        <x:v>37608790-6147-45d0-9f20-1137bb35703d_HQ3</x:v>
      </x:c>
      <x:c r="B109" s="36" t="str">
        <x:v>SG_TASK_37608790-6147-45d0-9f20-1137bb35703d</x:v>
      </x:c>
      <x:c r="C109" s="36" t="str">
        <x:v>37608790-6147-45d0-9f20-1137bb35703d</x:v>
      </x:c>
      <x:c r="D109" s="36" t="str">
        <x:v>Employee_Roles_and_Ranks.xlsx</x:v>
      </x:c>
      <x:c r="E109" s="36" t="str">
        <x:v>single_memory</x:v>
      </x:c>
      <x:c r="F109" s="36" t="str">
        <x:v>contextual_ellipsis</x:v>
      </x:c>
      <x:c r="G109" s="36" t="str">
        <x:v>train</x:v>
      </x:c>
      <x:c r="H109" s="36" t="str">
        <x:v>中等</x:v>
      </x:c>
      <x:c r="I109" s="36" t="str">
        <x:v>37608790-6147-45d0-9f20-1137bb35703d</x:v>
      </x:c>
      <x:c r="J109" s="36" t="str">
        <x:v>CTX_37608790-6147-45d0-9f20-1137bb35703d</x:v>
      </x:c>
      <x:c r="K109" s="36" t="str">
        <x:v>STM_37608790-6147-45d0-9f20-1137bb35703d</x:v>
      </x:c>
      <x:c r="L109" s="36" t="str"/>
      <x:c r="M109" s="36" t="str"/>
      <x:c r="N109" s="36" t="str">
        <x:v>工作流程</x:v>
      </x:c>
      <x:c r="O109" s="36" t="str">
        <x:v>短期</x:v>
      </x:c>
      <x:c r="P109" s="36" t="str">
        <x:v>["libreoffice_calc"]</x:v>
      </x:c>
      <x:c r="Q109" s="36" t="str">
        <x:v>[{"step_id":"S1","app":"libreoffice_calc","action_key":"split_employee_identity_fields","input_artifacts":["Employee_Roles_and_Ranks.xlsx"],"output_artifacts":["Employee_Roles_and_Ranks.xlsx"],"depends_on":[]}]</x:v>
      </x:c>
      <x:c r="R109" s="36" t="str">
        <x:v>[]</x:v>
      </x:c>
      <x:c r="S109" s="36" t="str">
        <x:v>split_employee_identity_fields</x:v>
      </x:c>
      <x:c r="T109" s="36" t="str">
        <x:v>Employee_Roles_and_Ranks.xlsx</x:v>
      </x:c>
      <x:c r="U109" s="36" t="str">
        <x:v>retrieve_and_execute</x:v>
      </x:c>
      <x:c r="V109" s="36" t="str">
        <x:v>[{"point_id":"P1","description":"主要处理方式与预期动作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x:v>
      </x:c>
      <x:c r="W109" s="36" t="str">
        <x:v>1.00</x:v>
      </x:c>
      <x:c r="X109" s="39" t="str">
        <x:v>当前表继续做人员字段拆分，First Name、Last Name、Rank 都要补齐。</x:v>
      </x:c>
      <x:c r="Y109" s="39" t="str">
        <x:v>第1条记忆（短期/工作流程）：在 Employee_Roles_and_Ranks.xlsx 中，把混在一个字段里的人员信息拆分，并分别填入 First Name、Last Name 和 Rank 列，同时保留原始数据。关键约束：拆成指定三列；原始混合字段不得修改或删除。</x:v>
      </x:c>
      <x:c r="Z109" s="39" t="str">
        <x:v>不适用：当前题目不存在需要用户进一步选择的候选记忆。</x:v>
      </x:c>
      <x:c r="AA109" s="39" t="str">
        <x:v>不适用：当前题目没有指定需要排除的冲突或禁止记忆。</x:v>
      </x:c>
      <x:c r="AB109" s="39" t="str">
        <x:v>应执行以下操作：在 Employee_Roles_and_Ranks.xlsx 中，把混在一个字段里的人员信息拆分，并分别填入 First Name、Last Name 和 Rank 列，同时保留原始数据。</x:v>
      </x:c>
      <x:c r="AC109" s="39" t="str">
        <x:v>第1项实际操作：在 Employee_Roles_and_Ranks.xlsx 中，把混在一个字段里的人员信息拆分，并分别填入 First Name、Last Name 和 Rank 列，同时保留原始数据。执行时必须满足：拆成指定三列；原始混合字段不得修改或删除。</x:v>
      </x:c>
      <x:c r="AD109" s="39" t="str">
        <x:v>用户的完整请求是：“当前表继续做人员字段拆分，First Name、Last Name、Rank 都要补齐。”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x:v>
      </x:c>
      <x:c r="AE10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109" s="50" t="str">
        <x:v>not_pass</x:v>
      </x:c>
      <x:c r="AG109" s="50" t="n">
        <x:v>0</x:v>
      </x:c>
    </x:row>
    <x:row r="110" ht="175.5" customHeight="1">
      <x:c r="A110" s="35" t="str">
        <x:v>37608790-6147-45d0-9f20-1137bb35703d_HQ4</x:v>
      </x:c>
      <x:c r="B110" s="36" t="str">
        <x:v>SG_TASK_37608790-6147-45d0-9f20-1137bb35703d</x:v>
      </x:c>
      <x:c r="C110" s="36" t="str">
        <x:v>37608790-6147-45d0-9f20-1137bb35703d</x:v>
      </x:c>
      <x:c r="D110" s="36" t="str">
        <x:v>Employee_Roles_and_Ranks.xlsx</x:v>
      </x:c>
      <x:c r="E110" s="36" t="str">
        <x:v>single_memory</x:v>
      </x:c>
      <x:c r="F110" s="36" t="str">
        <x:v>low_overlap_paraphrase</x:v>
      </x:c>
      <x:c r="G110" s="36" t="str">
        <x:v>train</x:v>
      </x:c>
      <x:c r="H110" s="36" t="str">
        <x:v>困难</x:v>
      </x:c>
      <x:c r="I110" s="36" t="str">
        <x:v>37608790-6147-45d0-9f20-1137bb35703d</x:v>
      </x:c>
      <x:c r="J110" s="36" t="str">
        <x:v>CTX_37608790-6147-45d0-9f20-1137bb35703d</x:v>
      </x:c>
      <x:c r="K110" s="36" t="str">
        <x:v>STM_37608790-6147-45d0-9f20-1137bb35703d</x:v>
      </x:c>
      <x:c r="L110" s="36" t="str"/>
      <x:c r="M110" s="36" t="str"/>
      <x:c r="N110" s="36" t="str">
        <x:v>工作流程</x:v>
      </x:c>
      <x:c r="O110" s="36" t="str">
        <x:v>短期</x:v>
      </x:c>
      <x:c r="P110" s="36" t="str">
        <x:v>["libreoffice_calc"]</x:v>
      </x:c>
      <x:c r="Q110" s="36" t="str">
        <x:v>[{"step_id":"S1","app":"libreoffice_calc","action_key":"split_employee_identity_fields","input_artifacts":["Employee_Roles_and_Ranks.xlsx"],"output_artifacts":["Employee_Roles_and_Ranks.xlsx"],"depends_on":[]}]</x:v>
      </x:c>
      <x:c r="R110" s="36" t="str">
        <x:v>[]</x:v>
      </x:c>
      <x:c r="S110" s="36" t="str">
        <x:v>split_employee_identity_fields</x:v>
      </x:c>
      <x:c r="T110" s="36" t="str">
        <x:v>Employee_Roles_and_Ranks.xlsx</x:v>
      </x:c>
      <x:c r="U110" s="36" t="str">
        <x:v>retrieve_and_execute</x:v>
      </x:c>
      <x:c r="V110" s="36" t="str">
        <x:v>[{"point_id":"P1","description":"主要处理方式与预期动作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x:v>
      </x:c>
      <x:c r="W110" s="36" t="str">
        <x:v>1.00</x:v>
      </x:c>
      <x:c r="X110" s="39" t="str">
        <x:v>为了导入人事系统，我需要三个独立字段，同时还得留下最初那列作为核对依据。</x:v>
      </x:c>
      <x:c r="Y110" s="39" t="str">
        <x:v>第1条记忆（短期/工作流程）：在 Employee_Roles_and_Ranks.xlsx 中，把混在一个字段里的人员信息拆分，并分别填入 First Name、Last Name 和 Rank 列，同时保留原始数据。关键约束：拆成指定三列；原始混合字段不得修改或删除。</x:v>
      </x:c>
      <x:c r="Z110" s="39" t="str">
        <x:v>不适用：当前题目不存在需要用户进一步选择的候选记忆。</x:v>
      </x:c>
      <x:c r="AA110" s="39" t="str">
        <x:v>不适用：当前题目没有指定需要排除的冲突或禁止记忆。</x:v>
      </x:c>
      <x:c r="AB110" s="39" t="str">
        <x:v>应执行以下操作：在 Employee_Roles_and_Ranks.xlsx 中，把混在一个字段里的人员信息拆分，并分别填入 First Name、Last Name 和 Rank 列，同时保留原始数据。</x:v>
      </x:c>
      <x:c r="AC110" s="39" t="str">
        <x:v>第1项实际操作：在 Employee_Roles_and_Ranks.xlsx 中，把混在一个字段里的人员信息拆分，并分别填入 First Name、Last Name 和 Rank 列，同时保留原始数据。执行时必须满足：拆成指定三列；原始混合字段不得修改或删除。</x:v>
      </x:c>
      <x:c r="AD110" s="39" t="str">
        <x:v>用户的完整请求是：“为了导入人事系统，我需要三个独立字段，同时还得留下最初那列作为核对依据。”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x:v>
      </x:c>
      <x:c r="AE11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110" s="50" t="str">
        <x:v>not_pass</x:v>
      </x:c>
      <x:c r="AG110" s="50" t="n">
        <x:v>0</x:v>
      </x:c>
    </x:row>
    <x:row r="111" ht="175.5" customHeight="1">
      <x:c r="A111" s="35" t="str">
        <x:v>37608790-6147-45d0-9f20-1137bb35703d_HQ5</x:v>
      </x:c>
      <x:c r="B111" s="36" t="str">
        <x:v>SG_TASK_37608790-6147-45d0-9f20-1137bb35703d</x:v>
      </x:c>
      <x:c r="C111" s="36" t="str">
        <x:v>37608790-6147-45d0-9f20-1137bb35703d</x:v>
      </x:c>
      <x:c r="D111" s="36" t="str">
        <x:v>Employee_Roles_and_Ranks.xlsx</x:v>
      </x:c>
      <x:c r="E111" s="36" t="str">
        <x:v>single_memory</x:v>
      </x:c>
      <x:c r="F111" s="36" t="str">
        <x:v>human_constraint_emphasis</x:v>
      </x:c>
      <x:c r="G111" s="36" t="str">
        <x:v>train</x:v>
      </x:c>
      <x:c r="H111" s="36" t="str">
        <x:v>困难</x:v>
      </x:c>
      <x:c r="I111" s="36" t="str">
        <x:v>37608790-6147-45d0-9f20-1137bb35703d</x:v>
      </x:c>
      <x:c r="J111" s="36" t="str">
        <x:v>CTX_37608790-6147-45d0-9f20-1137bb35703d</x:v>
      </x:c>
      <x:c r="K111" s="36" t="str">
        <x:v>STM_37608790-6147-45d0-9f20-1137bb35703d</x:v>
      </x:c>
      <x:c r="L111" s="36" t="str"/>
      <x:c r="M111" s="36" t="str"/>
      <x:c r="N111" s="36" t="str">
        <x:v>工作流程</x:v>
      </x:c>
      <x:c r="O111" s="36" t="str">
        <x:v>短期</x:v>
      </x:c>
      <x:c r="P111" s="36" t="str">
        <x:v>["libreoffice_calc"]</x:v>
      </x:c>
      <x:c r="Q111" s="36" t="str">
        <x:v>[{"step_id":"S1","app":"libreoffice_calc","action_key":"split_employee_identity_fields","input_artifacts":["Employee_Roles_and_Ranks.xlsx"],"output_artifacts":["Employee_Roles_and_Ranks.xlsx"],"depends_on":[]}]</x:v>
      </x:c>
      <x:c r="R111" s="36" t="str">
        <x:v>[]</x:v>
      </x:c>
      <x:c r="S111" s="36" t="str">
        <x:v>split_employee_identity_fields</x:v>
      </x:c>
      <x:c r="T111" s="36" t="str">
        <x:v>Employee_Roles_and_Ranks.xlsx</x:v>
      </x:c>
      <x:c r="U111" s="36" t="str">
        <x:v>retrieve_and_execute</x:v>
      </x:c>
      <x:c r="V111" s="36" t="str">
        <x:v>[{"point_id":"P1","description":"主要处理方式与预期动作 split_employee_identity_fields 语义一致","weight":0.4,"evidence_memory_ids":["STM_37608790-6147-45d0-9f20-1137bb35703d"]},{"point_id":"P2","description":"正确定位目标对象 Employee_Roles_and_Ranks.xlsx","weight":0.2,"evidence_memory_ids":["STM_37608790-6147-45d0-9f20-1137bb35703d"]},{"point_id":"P3","description":"满足关键条件：拆成指定三列；原始混合字段不得修改或删除","weight":0.3,"evidence_memory_ids":["STM_37608790-6147-45d0-9f20-1137bb35703d"]},{"point_id":"P4","description":"不增加无记忆证据支持的操作","weight":0.1,"evidence_memory_ids":["STM_37608790-6147-45d0-9f20-1137bb35703d"]}]</x:v>
      </x:c>
      <x:c r="W111" s="36" t="str">
        <x:v>1.00</x:v>
      </x:c>
      <x:c r="X111" s="39" t="str">
        <x:v>混合信息拆成 First Name、Last Name 和 Rank，原数据一字不改。</x:v>
      </x:c>
      <x:c r="Y111" s="39" t="str">
        <x:v>第1条记忆（短期/工作流程）：在 Employee_Roles_and_Ranks.xlsx 中，把混在一个字段里的人员信息拆分，并分别填入 First Name、Last Name 和 Rank 列，同时保留原始数据。关键约束：拆成指定三列；原始混合字段不得修改或删除。</x:v>
      </x:c>
      <x:c r="Z111" s="39" t="str">
        <x:v>不适用：当前题目不存在需要用户进一步选择的候选记忆。</x:v>
      </x:c>
      <x:c r="AA111" s="39" t="str">
        <x:v>不适用：当前题目没有指定需要排除的冲突或禁止记忆。</x:v>
      </x:c>
      <x:c r="AB111" s="39" t="str">
        <x:v>应执行以下操作：在 Employee_Roles_and_Ranks.xlsx 中，把混在一个字段里的人员信息拆分，并分别填入 First Name、Last Name 和 Rank 列，同时保留原始数据。</x:v>
      </x:c>
      <x:c r="AC111" s="39" t="str">
        <x:v>第1项实际操作：在 Employee_Roles_and_Ranks.xlsx 中，把混在一个字段里的人员信息拆分，并分别填入 First Name、Last Name 和 Rank 列，同时保留原始数据。执行时必须满足：拆成指定三列；原始混合字段不得修改或删除。</x:v>
      </x:c>
      <x:c r="AD111" s="39" t="str">
        <x:v>用户的完整请求是：“混合信息拆成 First Name、Last Name 和 Rank，原数据一字不改。” 第1个当前上下文：Employee_Roles_and_Ranks.xlsx 已在 LibreOffice Calc 中打开。 当前请求是在已有办公上下文中继续、复用或重新强调既有处理方式。与该请求唯一对应的完整必需记忆如下：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Employee_Roles_and_Ranks.xlsx 中，把混在一个字段里的人员信息拆分，并分别填入 First Name、Last Name 和 Rank 列，同时保留原始数据。”</x:v>
      </x:c>
      <x:c r="AE11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第2个得分点（0.20分）：正确定位目标对象 Employee_Roles_and_Ranks.xlsx。该得分点所依据的完整证据为：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第3个得分点（0.30分）：满足关键条件：拆成指定三列；原始混合字段不得修改或删除。该得分点所依据的完整证据为：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第4个得分点（0.10分）：不增加无记忆证据支持的操作。该得分点所依据的完整证据为：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111" s="50" t="str">
        <x:v>not_pass</x:v>
      </x:c>
      <x:c r="AG111" s="50" t="n">
        <x:v>0</x:v>
      </x:c>
    </x:row>
    <x:row r="112" ht="189" customHeight="1">
      <x:c r="A112" s="35" t="str">
        <x:v>3a7c8185-25c1-4941-bd7b-96e823c9f21f_HQ1</x:v>
      </x:c>
      <x:c r="B112" s="36" t="str">
        <x:v>SG_TASK_3a7c8185-25c1-4941-bd7b-96e823c9f21f</x:v>
      </x:c>
      <x:c r="C112" s="36" t="str">
        <x:v>3a7c8185-25c1-4941-bd7b-96e823c9f21f</x:v>
      </x:c>
      <x:c r="D112" s="36" t="str">
        <x:v>BoomerangSales.xlsx</x:v>
      </x:c>
      <x:c r="E112" s="36" t="str">
        <x:v>single_memory</x:v>
      </x:c>
      <x:c r="F112" s="36" t="str">
        <x:v>human_context_explicit</x:v>
      </x:c>
      <x:c r="G112" s="36" t="str">
        <x:v>train</x:v>
      </x:c>
      <x:c r="H112" s="36" t="str">
        <x:v>简单</x:v>
      </x:c>
      <x:c r="I112" s="36" t="str">
        <x:v>3a7c8185-25c1-4941-bd7b-96e823c9f21f</x:v>
      </x:c>
      <x:c r="J112" s="36" t="str">
        <x:v>CTX_3a7c8185-25c1-4941-bd7b-96e823c9f21f</x:v>
      </x:c>
      <x:c r="K112" s="36" t="str">
        <x:v>MTM_3a7c8185-25c1-4941-bd7b-96e823c9f21f</x:v>
      </x:c>
      <x:c r="L112" s="36" t="str"/>
      <x:c r="M112" s="36" t="str">
        <x:v>STM_51719eea-10bc-4246-a428-ac7c433dd4b3</x:v>
      </x:c>
      <x:c r="N112" s="36" t="str">
        <x:v>工作流程</x:v>
      </x:c>
      <x:c r="O112" s="36" t="str">
        <x:v>中期</x:v>
      </x:c>
      <x:c r="P112" s="36" t="str">
        <x:v>["libreoffice_calc"]</x:v>
      </x:c>
      <x:c r="Q112" s="36" t="str">
        <x:v>[{"step_id":"S1","app":"libreoffice_calc","action_key":"sort_and_chart_boomerang_quantity","input_artifacts":["BoomerangSales.xlsx"],"output_artifacts":["BoomerangSales.xlsx"],"depends_on":[]}]</x:v>
      </x:c>
      <x:c r="R112" s="36" t="str">
        <x:v>[]</x:v>
      </x:c>
      <x:c r="S112" s="36" t="str">
        <x:v>sort_and_chart_boomerang_quantity</x:v>
      </x:c>
      <x:c r="T112" s="36" t="str">
        <x:v>BoomerangSales.xlsx</x:v>
      </x:c>
      <x:c r="U112" s="36" t="str">
        <x:v>retrieve_and_execute</x:v>
      </x:c>
      <x:c r="V112" s="36" t="str">
        <x:v>[{"point_id":"P1","description":"主要处理方式与预期动作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x:v>
      </x:c>
      <x:c r="W112" s="36" t="str">
        <x:v>1.00</x:v>
      </x:c>
      <x:c r="X112" s="39" t="str">
        <x:v>BoomerangSales.xlsx 的销量趋势按之前流程做，先按A列排好，再画时间对数量的折线。</x:v>
      </x:c>
      <x:c r="Y112" s="39" t="str">
        <x:v>第1条记忆（中期/工作流程）：在 BoomerangSales.xlsx 中先按 A 列升序排列数据，再创建折线图，以 Date Time 为横轴、quantity 为纵轴。关键约束：必须先排序再作图；A 列升序；横轴 Date Time，纵轴 quantity。</x:v>
      </x:c>
      <x:c r="Z112" s="39" t="str">
        <x:v>不适用：当前题目不存在需要用户进一步选择的候选记忆。</x:v>
      </x:c>
      <x:c r="AA112"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B112" s="39" t="str">
        <x:v>应执行以下操作：在 BoomerangSales.xlsx 中先按 A 列升序排列数据，再创建折线图，以 Date Time 为横轴、quantity 为纵轴。</x:v>
      </x:c>
      <x:c r="AC112" s="39" t="str">
        <x:v>第1项实际操作：在 BoomerangSales.xlsx 中先按 A 列升序排列数据，再创建折线图，以 Date Time 为横轴、quantity 为纵轴。执行时必须满足：必须先排序再作图；A 列升序；横轴 Date Time，纵轴 quantity。</x:v>
      </x:c>
      <x:c r="AD112" s="39" t="str">
        <x:v>用户的完整请求是：“BoomerangSales.xlsx 的销量趋势按之前流程做，先按A列排好，再画时间对数量的折线。”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x:v>
      </x:c>
      <x:c r="AE11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112" s="50" t="str">
        <x:v>not_pass</x:v>
      </x:c>
      <x:c r="AG112" s="50" t="n">
        <x:v>0</x:v>
      </x:c>
    </x:row>
    <x:row r="113" ht="189" customHeight="1">
      <x:c r="A113" s="35" t="str">
        <x:v>3a7c8185-25c1-4941-bd7b-96e823c9f21f_HQ2</x:v>
      </x:c>
      <x:c r="B113" s="36" t="str">
        <x:v>SG_TASK_3a7c8185-25c1-4941-bd7b-96e823c9f21f</x:v>
      </x:c>
      <x:c r="C113" s="36" t="str">
        <x:v>3a7c8185-25c1-4941-bd7b-96e823c9f21f</x:v>
      </x:c>
      <x:c r="D113" s="36" t="str">
        <x:v>BoomerangSales.xlsx</x:v>
      </x:c>
      <x:c r="E113" s="36" t="str">
        <x:v>single_memory</x:v>
      </x:c>
      <x:c r="F113" s="36" t="str">
        <x:v>human_goal_oriented</x:v>
      </x:c>
      <x:c r="G113" s="36" t="str">
        <x:v>train</x:v>
      </x:c>
      <x:c r="H113" s="36" t="str">
        <x:v>中等</x:v>
      </x:c>
      <x:c r="I113" s="36" t="str">
        <x:v>3a7c8185-25c1-4941-bd7b-96e823c9f21f</x:v>
      </x:c>
      <x:c r="J113" s="36" t="str">
        <x:v>CTX_3a7c8185-25c1-4941-bd7b-96e823c9f21f</x:v>
      </x:c>
      <x:c r="K113" s="36" t="str">
        <x:v>MTM_3a7c8185-25c1-4941-bd7b-96e823c9f21f</x:v>
      </x:c>
      <x:c r="L113" s="36" t="str"/>
      <x:c r="M113" s="36" t="str">
        <x:v>STM_51719eea-10bc-4246-a428-ac7c433dd4b3</x:v>
      </x:c>
      <x:c r="N113" s="36" t="str">
        <x:v>工作流程</x:v>
      </x:c>
      <x:c r="O113" s="36" t="str">
        <x:v>中期</x:v>
      </x:c>
      <x:c r="P113" s="36" t="str">
        <x:v>["libreoffice_calc"]</x:v>
      </x:c>
      <x:c r="Q113" s="36" t="str">
        <x:v>[{"step_id":"S1","app":"libreoffice_calc","action_key":"sort_and_chart_boomerang_quantity","input_artifacts":["BoomerangSales.xlsx"],"output_artifacts":["BoomerangSales.xlsx"],"depends_on":[]}]</x:v>
      </x:c>
      <x:c r="R113" s="36" t="str">
        <x:v>[]</x:v>
      </x:c>
      <x:c r="S113" s="36" t="str">
        <x:v>sort_and_chart_boomerang_quantity</x:v>
      </x:c>
      <x:c r="T113" s="36" t="str">
        <x:v>BoomerangSales.xlsx</x:v>
      </x:c>
      <x:c r="U113" s="36" t="str">
        <x:v>retrieve_and_execute</x:v>
      </x:c>
      <x:c r="V113" s="36" t="str">
        <x:v>[{"point_id":"P1","description":"主要处理方式与预期动作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x:v>
      </x:c>
      <x:c r="W113" s="36" t="str">
        <x:v>1.00</x:v>
      </x:c>
      <x:c r="X113" s="39" t="str">
        <x:v>这份销售记录时间顺序乱了，帮我先升序整理，然后看看 quantity 随 Date Time 怎么变化。</x:v>
      </x:c>
      <x:c r="Y113" s="39" t="str">
        <x:v>第1条记忆（中期/工作流程）：在 BoomerangSales.xlsx 中先按 A 列升序排列数据，再创建折线图，以 Date Time 为横轴、quantity 为纵轴。关键约束：必须先排序再作图；A 列升序；横轴 Date Time，纵轴 quantity。</x:v>
      </x:c>
      <x:c r="Z113" s="39" t="str">
        <x:v>不适用：当前题目不存在需要用户进一步选择的候选记忆。</x:v>
      </x:c>
      <x:c r="AA113"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B113" s="39" t="str">
        <x:v>应执行以下操作：在 BoomerangSales.xlsx 中先按 A 列升序排列数据，再创建折线图，以 Date Time 为横轴、quantity 为纵轴。</x:v>
      </x:c>
      <x:c r="AC113" s="39" t="str">
        <x:v>第1项实际操作：在 BoomerangSales.xlsx 中先按 A 列升序排列数据，再创建折线图，以 Date Time 为横轴、quantity 为纵轴。执行时必须满足：必须先排序再作图；A 列升序；横轴 Date Time，纵轴 quantity。</x:v>
      </x:c>
      <x:c r="AD113" s="39" t="str">
        <x:v>用户的完整请求是：“这份销售记录时间顺序乱了，帮我先升序整理，然后看看 quantity 随 Date Time 怎么变化。”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x:v>
      </x:c>
      <x:c r="AE11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113" s="50" t="str">
        <x:v>not_pass</x:v>
      </x:c>
      <x:c r="AG113" s="50" t="n">
        <x:v>0</x:v>
      </x:c>
    </x:row>
    <x:row r="114" ht="189" customHeight="1">
      <x:c r="A114" s="35" t="str">
        <x:v>3a7c8185-25c1-4941-bd7b-96e823c9f21f_HQ3</x:v>
      </x:c>
      <x:c r="B114" s="36" t="str">
        <x:v>SG_TASK_3a7c8185-25c1-4941-bd7b-96e823c9f21f</x:v>
      </x:c>
      <x:c r="C114" s="36" t="str">
        <x:v>3a7c8185-25c1-4941-bd7b-96e823c9f21f</x:v>
      </x:c>
      <x:c r="D114" s="36" t="str">
        <x:v>BoomerangSales.xlsx</x:v>
      </x:c>
      <x:c r="E114" s="36" t="str">
        <x:v>single_memory</x:v>
      </x:c>
      <x:c r="F114" s="36" t="str">
        <x:v>contextual_ellipsis</x:v>
      </x:c>
      <x:c r="G114" s="36" t="str">
        <x:v>train</x:v>
      </x:c>
      <x:c r="H114" s="36" t="str">
        <x:v>中等</x:v>
      </x:c>
      <x:c r="I114" s="36" t="str">
        <x:v>3a7c8185-25c1-4941-bd7b-96e823c9f21f</x:v>
      </x:c>
      <x:c r="J114" s="36" t="str">
        <x:v>CTX_3a7c8185-25c1-4941-bd7b-96e823c9f21f</x:v>
      </x:c>
      <x:c r="K114" s="36" t="str">
        <x:v>MTM_3a7c8185-25c1-4941-bd7b-96e823c9f21f</x:v>
      </x:c>
      <x:c r="L114" s="36" t="str"/>
      <x:c r="M114" s="36" t="str">
        <x:v>STM_51719eea-10bc-4246-a428-ac7c433dd4b3</x:v>
      </x:c>
      <x:c r="N114" s="36" t="str">
        <x:v>工作流程</x:v>
      </x:c>
      <x:c r="O114" s="36" t="str">
        <x:v>中期</x:v>
      </x:c>
      <x:c r="P114" s="36" t="str">
        <x:v>["libreoffice_calc"]</x:v>
      </x:c>
      <x:c r="Q114" s="36" t="str">
        <x:v>[{"step_id":"S1","app":"libreoffice_calc","action_key":"sort_and_chart_boomerang_quantity","input_artifacts":["BoomerangSales.xlsx"],"output_artifacts":["BoomerangSales.xlsx"],"depends_on":[]}]</x:v>
      </x:c>
      <x:c r="R114" s="36" t="str">
        <x:v>[]</x:v>
      </x:c>
      <x:c r="S114" s="36" t="str">
        <x:v>sort_and_chart_boomerang_quantity</x:v>
      </x:c>
      <x:c r="T114" s="36" t="str">
        <x:v>BoomerangSales.xlsx</x:v>
      </x:c>
      <x:c r="U114" s="36" t="str">
        <x:v>retrieve_and_execute</x:v>
      </x:c>
      <x:c r="V114" s="36" t="str">
        <x:v>[{"point_id":"P1","description":"主要处理方式与预期动作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x:v>
      </x:c>
      <x:c r="W114" s="36" t="str">
        <x:v>1.00</x:v>
      </x:c>
      <x:c r="X114" s="39" t="str">
        <x:v>当前 Boomerang 表继续做时序图，排序步骤别省。</x:v>
      </x:c>
      <x:c r="Y114" s="39" t="str">
        <x:v>第1条记忆（中期/工作流程）：在 BoomerangSales.xlsx 中先按 A 列升序排列数据，再创建折线图，以 Date Time 为横轴、quantity 为纵轴。关键约束：必须先排序再作图；A 列升序；横轴 Date Time，纵轴 quantity。</x:v>
      </x:c>
      <x:c r="Z114" s="39" t="str">
        <x:v>不适用：当前题目不存在需要用户进一步选择的候选记忆。</x:v>
      </x:c>
      <x:c r="AA114"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B114" s="39" t="str">
        <x:v>应执行以下操作：在 BoomerangSales.xlsx 中先按 A 列升序排列数据，再创建折线图，以 Date Time 为横轴、quantity 为纵轴。</x:v>
      </x:c>
      <x:c r="AC114" s="39" t="str">
        <x:v>第1项实际操作：在 BoomerangSales.xlsx 中先按 A 列升序排列数据，再创建折线图，以 Date Time 为横轴、quantity 为纵轴。执行时必须满足：必须先排序再作图；A 列升序；横轴 Date Time，纵轴 quantity。</x:v>
      </x:c>
      <x:c r="AD114" s="39" t="str">
        <x:v>用户的完整请求是：“当前 Boomerang 表继续做时序图，排序步骤别省。”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x:v>
      </x:c>
      <x:c r="AE11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114" s="50" t="str">
        <x:v>not_pass</x:v>
      </x:c>
      <x:c r="AG114" s="50" t="n">
        <x:v>0</x:v>
      </x:c>
    </x:row>
    <x:row r="115" ht="189" customHeight="1">
      <x:c r="A115" s="35" t="str">
        <x:v>3a7c8185-25c1-4941-bd7b-96e823c9f21f_HQ4</x:v>
      </x:c>
      <x:c r="B115" s="36" t="str">
        <x:v>SG_TASK_3a7c8185-25c1-4941-bd7b-96e823c9f21f</x:v>
      </x:c>
      <x:c r="C115" s="36" t="str">
        <x:v>3a7c8185-25c1-4941-bd7b-96e823c9f21f</x:v>
      </x:c>
      <x:c r="D115" s="36" t="str">
        <x:v>BoomerangSales.xlsx</x:v>
      </x:c>
      <x:c r="E115" s="36" t="str">
        <x:v>single_memory</x:v>
      </x:c>
      <x:c r="F115" s="36" t="str">
        <x:v>low_overlap_paraphrase</x:v>
      </x:c>
      <x:c r="G115" s="36" t="str">
        <x:v>train</x:v>
      </x:c>
      <x:c r="H115" s="36" t="str">
        <x:v>困难</x:v>
      </x:c>
      <x:c r="I115" s="36" t="str">
        <x:v>3a7c8185-25c1-4941-bd7b-96e823c9f21f</x:v>
      </x:c>
      <x:c r="J115" s="36" t="str">
        <x:v>CTX_3a7c8185-25c1-4941-bd7b-96e823c9f21f</x:v>
      </x:c>
      <x:c r="K115" s="36" t="str">
        <x:v>MTM_3a7c8185-25c1-4941-bd7b-96e823c9f21f</x:v>
      </x:c>
      <x:c r="L115" s="36" t="str"/>
      <x:c r="M115" s="36" t="str">
        <x:v>STM_51719eea-10bc-4246-a428-ac7c433dd4b3</x:v>
      </x:c>
      <x:c r="N115" s="36" t="str">
        <x:v>工作流程</x:v>
      </x:c>
      <x:c r="O115" s="36" t="str">
        <x:v>中期</x:v>
      </x:c>
      <x:c r="P115" s="36" t="str">
        <x:v>["libreoffice_calc"]</x:v>
      </x:c>
      <x:c r="Q115" s="36" t="str">
        <x:v>[{"step_id":"S1","app":"libreoffice_calc","action_key":"sort_and_chart_boomerang_quantity","input_artifacts":["BoomerangSales.xlsx"],"output_artifacts":["BoomerangSales.xlsx"],"depends_on":[]}]</x:v>
      </x:c>
      <x:c r="R115" s="36" t="str">
        <x:v>[]</x:v>
      </x:c>
      <x:c r="S115" s="36" t="str">
        <x:v>sort_and_chart_boomerang_quantity</x:v>
      </x:c>
      <x:c r="T115" s="36" t="str">
        <x:v>BoomerangSales.xlsx</x:v>
      </x:c>
      <x:c r="U115" s="36" t="str">
        <x:v>retrieve_and_execute</x:v>
      </x:c>
      <x:c r="V115" s="36" t="str">
        <x:v>[{"point_id":"P1","description":"主要处理方式与预期动作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x:v>
      </x:c>
      <x:c r="W115" s="36" t="str">
        <x:v>1.00</x:v>
      </x:c>
      <x:c r="X115" s="39" t="str">
        <x:v>我想看销量随时间的走势，但得先把记录顺序校正，再用折线展示。</x:v>
      </x:c>
      <x:c r="Y115" s="39" t="str">
        <x:v>第1条记忆（中期/工作流程）：在 BoomerangSales.xlsx 中先按 A 列升序排列数据，再创建折线图，以 Date Time 为横轴、quantity 为纵轴。关键约束：必须先排序再作图；A 列升序；横轴 Date Time，纵轴 quantity。</x:v>
      </x:c>
      <x:c r="Z115" s="39" t="str">
        <x:v>不适用：当前题目不存在需要用户进一步选择的候选记忆。</x:v>
      </x:c>
      <x:c r="AA115"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B115" s="39" t="str">
        <x:v>应执行以下操作：在 BoomerangSales.xlsx 中先按 A 列升序排列数据，再创建折线图，以 Date Time 为横轴、quantity 为纵轴。</x:v>
      </x:c>
      <x:c r="AC115" s="39" t="str">
        <x:v>第1项实际操作：在 BoomerangSales.xlsx 中先按 A 列升序排列数据，再创建折线图，以 Date Time 为横轴、quantity 为纵轴。执行时必须满足：必须先排序再作图；A 列升序；横轴 Date Time，纵轴 quantity。</x:v>
      </x:c>
      <x:c r="AD115" s="39" t="str">
        <x:v>用户的完整请求是：“我想看销量随时间的走势，但得先把记录顺序校正，再用折线展示。”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x:v>
      </x:c>
      <x:c r="AE11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115" s="50" t="str">
        <x:v>not_pass</x:v>
      </x:c>
      <x:c r="AG115" s="50" t="n">
        <x:v>0</x:v>
      </x:c>
    </x:row>
    <x:row r="116" ht="189" customHeight="1">
      <x:c r="A116" s="35" t="str">
        <x:v>3a7c8185-25c1-4941-bd7b-96e823c9f21f_HQ5</x:v>
      </x:c>
      <x:c r="B116" s="36" t="str">
        <x:v>SG_TASK_3a7c8185-25c1-4941-bd7b-96e823c9f21f</x:v>
      </x:c>
      <x:c r="C116" s="36" t="str">
        <x:v>3a7c8185-25c1-4941-bd7b-96e823c9f21f</x:v>
      </x:c>
      <x:c r="D116" s="36" t="str">
        <x:v>BoomerangSales.xlsx</x:v>
      </x:c>
      <x:c r="E116" s="36" t="str">
        <x:v>single_memory</x:v>
      </x:c>
      <x:c r="F116" s="36" t="str">
        <x:v>human_constraint_emphasis</x:v>
      </x:c>
      <x:c r="G116" s="36" t="str">
        <x:v>train</x:v>
      </x:c>
      <x:c r="H116" s="36" t="str">
        <x:v>困难</x:v>
      </x:c>
      <x:c r="I116" s="36" t="str">
        <x:v>3a7c8185-25c1-4941-bd7b-96e823c9f21f</x:v>
      </x:c>
      <x:c r="J116" s="36" t="str">
        <x:v>CTX_3a7c8185-25c1-4941-bd7b-96e823c9f21f</x:v>
      </x:c>
      <x:c r="K116" s="36" t="str">
        <x:v>MTM_3a7c8185-25c1-4941-bd7b-96e823c9f21f</x:v>
      </x:c>
      <x:c r="L116" s="36" t="str"/>
      <x:c r="M116" s="36" t="str">
        <x:v>STM_51719eea-10bc-4246-a428-ac7c433dd4b3</x:v>
      </x:c>
      <x:c r="N116" s="36" t="str">
        <x:v>工作流程</x:v>
      </x:c>
      <x:c r="O116" s="36" t="str">
        <x:v>中期</x:v>
      </x:c>
      <x:c r="P116" s="36" t="str">
        <x:v>["libreoffice_calc"]</x:v>
      </x:c>
      <x:c r="Q116" s="36" t="str">
        <x:v>[{"step_id":"S1","app":"libreoffice_calc","action_key":"sort_and_chart_boomerang_quantity","input_artifacts":["BoomerangSales.xlsx"],"output_artifacts":["BoomerangSales.xlsx"],"depends_on":[]}]</x:v>
      </x:c>
      <x:c r="R116" s="36" t="str">
        <x:v>[]</x:v>
      </x:c>
      <x:c r="S116" s="36" t="str">
        <x:v>sort_and_chart_boomerang_quantity</x:v>
      </x:c>
      <x:c r="T116" s="36" t="str">
        <x:v>BoomerangSales.xlsx</x:v>
      </x:c>
      <x:c r="U116" s="36" t="str">
        <x:v>retrieve_and_execute</x:v>
      </x:c>
      <x:c r="V116" s="36" t="str">
        <x:v>[{"point_id":"P1","description":"主要处理方式与预期动作 sort_and_chart_boomerang_quantity 语义一致","weight":0.4,"evidence_memory_ids":["MTM_3a7c8185-25c1-4941-bd7b-96e823c9f21f"]},{"point_id":"P2","description":"正确定位目标对象 BoomerangSales.xlsx","weight":0.2,"evidence_memory_ids":["MTM_3a7c8185-25c1-4941-bd7b-96e823c9f21f"]},{"point_id":"P3","description":"满足关键条件：必须先排序再作图；A 列升序；横轴 Date Time，纵轴 quantity","weight":0.3,"evidence_memory_ids":["MTM_3a7c8185-25c1-4941-bd7b-96e823c9f21f"]},{"point_id":"P4","description":"不采用禁止记忆中的冲突方案","weight":0.1,"evidence_memory_ids":["MTM_3a7c8185-25c1-4941-bd7b-96e823c9f21f","STM_51719eea-10bc-4246-a428-ac7c433dd4b3"]}]</x:v>
      </x:c>
      <x:c r="W116" s="36" t="str">
        <x:v>1.00</x:v>
      </x:c>
      <x:c r="X116" s="39" t="str">
        <x:v>A列升序后再画线，X轴用 Date Time、Y轴用 quantity，顺序不要反。</x:v>
      </x:c>
      <x:c r="Y116" s="39" t="str">
        <x:v>第1条记忆（中期/工作流程）：在 BoomerangSales.xlsx 中先按 A 列升序排列数据，再创建折线图，以 Date Time 为横轴、quantity 为纵轴。关键约束：必须先排序再作图；A 列升序；横轴 Date Time，纵轴 quantity。</x:v>
      </x:c>
      <x:c r="Z116" s="39" t="str">
        <x:v>不适用：当前题目不存在需要用户进一步选择的候选记忆。</x:v>
      </x:c>
      <x:c r="AA116"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B116" s="39" t="str">
        <x:v>应执行以下操作：在 BoomerangSales.xlsx 中先按 A 列升序排列数据，再创建折线图，以 Date Time 为横轴、quantity 为纵轴。</x:v>
      </x:c>
      <x:c r="AC116" s="39" t="str">
        <x:v>第1项实际操作：在 BoomerangSales.xlsx 中先按 A 列升序排列数据，再创建折线图，以 Date Time 为横轴、quantity 为纵轴。执行时必须满足：必须先排序再作图；A 列升序；横轴 Date Time，纵轴 quantity。</x:v>
      </x:c>
      <x:c r="AD116" s="39" t="str">
        <x:v>用户的完整请求是：“A列升序后再画线，X轴用 Date Time、Y轴用 quantity，顺序不要反。” 第1个当前上下文：BoomerangSales.xlsx 已在 LibreOffice Calc 中打开。 当前请求是在已有办公上下文中继续、复用或重新强调既有处理方式。与该请求唯一对应的完整必需记忆如下：
第1条记忆（中期/工作流程）：在 BoomerangSales.xlsx 中先按 A 列升序排列数据，再创建折线图，以 Date Time 为横轴、quantity 为纵轴。关键约束：必须先排序再作图；A 列升序；横轴 Date Time，纵轴 quantity。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中先按 A 列升序排列数据，再创建折线图，以 Date Time 为横轴、quantity 为纵轴。”</x:v>
      </x:c>
      <x:c r="AE11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第2个得分点（0.20分）：正确定位目标对象 BoomerangSales.xlsx。该得分点所依据的完整证据为：
第1条记忆（中期/工作流程）：在 BoomerangSales.xlsx 中先按 A 列升序排列数据，再创建折线图，以 Date Time 为横轴、quantity 为纵轴。关键约束：必须先排序再作图；A 列升序；横轴 Date Time，纵轴 quantity。
第3个得分点（0.30分）：满足关键条件：必须先排序再作图；A 列升序；横轴 Date Time，纵轴 quantity。该得分点所依据的完整证据为：
第1条记忆（中期/工作流程）：在 BoomerangSales.xlsx 中先按 A 列升序排列数据，再创建折线图，以 Date Time 为横轴、quantity 为纵轴。关键约束：必须先排序再作图；A 列升序；横轴 Date Time，纵轴 quantity。
第4个得分点（0.10分）：不采用禁止记忆中的冲突方案。该得分点所依据的完整证据为：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116" s="50" t="str">
        <x:v>not_pass</x:v>
      </x:c>
      <x:c r="AG116" s="50" t="n">
        <x:v>0</x:v>
      </x:c>
    </x:row>
    <x:row r="117" ht="175.5" customHeight="1">
      <x:c r="A117" s="35" t="str">
        <x:v>3aaa4e37-dc91-482e-99af-132a612d40f3_HQ1</x:v>
      </x:c>
      <x:c r="B117" s="36" t="str">
        <x:v>SG_TASK_3aaa4e37-dc91-482e-99af-132a612d40f3</x:v>
      </x:c>
      <x:c r="C117" s="36" t="str">
        <x:v>3aaa4e37-dc91-482e-99af-132a612d40f3</x:v>
      </x:c>
      <x:c r="D117" s="36" t="str">
        <x:v>Export_Calc_to_CSV.xlsx</x:v>
      </x:c>
      <x:c r="E117" s="36" t="str">
        <x:v>single_memory</x:v>
      </x:c>
      <x:c r="F117" s="36" t="str">
        <x:v>human_context_explicit</x:v>
      </x:c>
      <x:c r="G117" s="36" t="str">
        <x:v>test</x:v>
      </x:c>
      <x:c r="H117" s="36" t="str">
        <x:v>简单</x:v>
      </x:c>
      <x:c r="I117" s="36" t="str">
        <x:v>3aaa4e37-dc91-482e-99af-132a612d40f3</x:v>
      </x:c>
      <x:c r="J117" s="36" t="str">
        <x:v>CTX_3aaa4e37-dc91-482e-99af-132a612d40f3</x:v>
      </x:c>
      <x:c r="K117" s="36" t="str">
        <x:v>STM_3aaa4e37-dc91-482e-99af-132a612d40f3</x:v>
      </x:c>
      <x:c r="L117" s="36" t="str"/>
      <x:c r="M117" s="36" t="str"/>
      <x:c r="N117" s="36" t="str">
        <x:v>工作流程</x:v>
      </x:c>
      <x:c r="O117" s="36" t="str">
        <x:v>短期</x:v>
      </x:c>
      <x:c r="P117" s="36" t="str">
        <x:v>["libreoffice_calc"]</x:v>
      </x:c>
      <x:c r="Q117" s="36" t="str">
        <x:v>[{"step_id":"S1","app":"libreoffice_calc","action_key":"export_current_sheet_to_csv","input_artifacts":["Export_Calc_to_CSV.xlsx"],"output_artifacts":["Export_Calc_to_CSV.csv"],"depends_on":[]}]</x:v>
      </x:c>
      <x:c r="R117" s="36" t="str">
        <x:v>[]</x:v>
      </x:c>
      <x:c r="S117" s="36" t="str">
        <x:v>export_current_sheet_to_csv</x:v>
      </x:c>
      <x:c r="T117" s="36" t="str">
        <x:v>Export_Calc_to_CSV.xlsx</x:v>
      </x:c>
      <x:c r="U117" s="36" t="str">
        <x:v>retrieve_and_execute</x:v>
      </x:c>
      <x:c r="V117" s="36" t="str">
        <x:v>[{"point_id":"P1","description":"主要处理方式与预期动作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x:v>
      </x:c>
      <x:c r="W117" s="36" t="str">
        <x:v>1.00</x:v>
      </x:c>
      <x:c r="X117" s="39" t="str">
        <x:v>Export_Calc_to_CSV.xlsx 当前这张表按之前的默认方式导出成同名 CSV，别改其他选项。</x:v>
      </x:c>
      <x:c r="Y117"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117" s="39" t="str">
        <x:v>不适用：当前题目不存在需要用户进一步选择的候选记忆。</x:v>
      </x:c>
      <x:c r="AA117" s="39" t="str">
        <x:v>不适用：当前题目没有指定需要排除的冲突或禁止记忆。</x:v>
      </x:c>
      <x:c r="AB117" s="39" t="str">
        <x:v>应执行以下操作：把 Export_Calc_to_CSV.xlsx 当前工作表按屏幕显示内容导出为默认格式的 CSV，其他导出选项保持不变，CSV 与原 XLSX 使用相同的主文件名。</x:v>
      </x:c>
      <x:c r="AC117"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117" s="39" t="str">
        <x:v>用户的完整请求是：“Export_Calc_to_CSV.xlsx 当前这张表按之前的默认方式导出成同名 CSV，别改其他选项。”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x:v>
      </x:c>
      <x:c r="AE11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117" s="50" t="str">
        <x:v>not_pass</x:v>
      </x:c>
      <x:c r="AG117" s="50" t="n">
        <x:v>0</x:v>
      </x:c>
    </x:row>
    <x:row r="118" ht="175.5" customHeight="1">
      <x:c r="A118" s="35" t="str">
        <x:v>3aaa4e37-dc91-482e-99af-132a612d40f3_HQ2</x:v>
      </x:c>
      <x:c r="B118" s="36" t="str">
        <x:v>SG_TASK_3aaa4e37-dc91-482e-99af-132a612d40f3</x:v>
      </x:c>
      <x:c r="C118" s="36" t="str">
        <x:v>3aaa4e37-dc91-482e-99af-132a612d40f3</x:v>
      </x:c>
      <x:c r="D118" s="36" t="str">
        <x:v>Export_Calc_to_CSV.xlsx</x:v>
      </x:c>
      <x:c r="E118" s="36" t="str">
        <x:v>single_memory</x:v>
      </x:c>
      <x:c r="F118" s="36" t="str">
        <x:v>human_goal_oriented</x:v>
      </x:c>
      <x:c r="G118" s="36" t="str">
        <x:v>test</x:v>
      </x:c>
      <x:c r="H118" s="36" t="str">
        <x:v>中等</x:v>
      </x:c>
      <x:c r="I118" s="36" t="str">
        <x:v>3aaa4e37-dc91-482e-99af-132a612d40f3</x:v>
      </x:c>
      <x:c r="J118" s="36" t="str">
        <x:v>CTX_3aaa4e37-dc91-482e-99af-132a612d40f3</x:v>
      </x:c>
      <x:c r="K118" s="36" t="str">
        <x:v>STM_3aaa4e37-dc91-482e-99af-132a612d40f3</x:v>
      </x:c>
      <x:c r="L118" s="36" t="str"/>
      <x:c r="M118" s="36" t="str"/>
      <x:c r="N118" s="36" t="str">
        <x:v>工作流程</x:v>
      </x:c>
      <x:c r="O118" s="36" t="str">
        <x:v>短期</x:v>
      </x:c>
      <x:c r="P118" s="36" t="str">
        <x:v>["libreoffice_calc"]</x:v>
      </x:c>
      <x:c r="Q118" s="36" t="str">
        <x:v>[{"step_id":"S1","app":"libreoffice_calc","action_key":"export_current_sheet_to_csv","input_artifacts":["Export_Calc_to_CSV.xlsx"],"output_artifacts":["Export_Calc_to_CSV.csv"],"depends_on":[]}]</x:v>
      </x:c>
      <x:c r="R118" s="36" t="str">
        <x:v>[]</x:v>
      </x:c>
      <x:c r="S118" s="36" t="str">
        <x:v>export_current_sheet_to_csv</x:v>
      </x:c>
      <x:c r="T118" s="36" t="str">
        <x:v>Export_Calc_to_CSV.xlsx</x:v>
      </x:c>
      <x:c r="U118" s="36" t="str">
        <x:v>retrieve_and_execute</x:v>
      </x:c>
      <x:c r="V118" s="36" t="str">
        <x:v>[{"point_id":"P1","description":"主要处理方式与预期动作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x:v>
      </x:c>
      <x:c r="W118" s="36" t="str">
        <x:v>1.00</x:v>
      </x:c>
      <x:c r="X118" s="39" t="str">
        <x:v>我要把屏幕上这张工作表交给同事，帮我原样另存为 CSV，文件名沿用原表。</x:v>
      </x:c>
      <x:c r="Y118"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118" s="39" t="str">
        <x:v>不适用：当前题目不存在需要用户进一步选择的候选记忆。</x:v>
      </x:c>
      <x:c r="AA118" s="39" t="str">
        <x:v>不适用：当前题目没有指定需要排除的冲突或禁止记忆。</x:v>
      </x:c>
      <x:c r="AB118" s="39" t="str">
        <x:v>应执行以下操作：把 Export_Calc_to_CSV.xlsx 当前工作表按屏幕显示内容导出为默认格式的 CSV，其他导出选项保持不变，CSV 与原 XLSX 使用相同的主文件名。</x:v>
      </x:c>
      <x:c r="AC118"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118" s="39" t="str">
        <x:v>用户的完整请求是：“我要把屏幕上这张工作表交给同事，帮我原样另存为 CSV，文件名沿用原表。”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x:v>
      </x:c>
      <x:c r="AE11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118" s="50" t="str">
        <x:v>not_pass</x:v>
      </x:c>
      <x:c r="AG118" s="50" t="n">
        <x:v>0</x:v>
      </x:c>
    </x:row>
    <x:row r="119" ht="175.5" customHeight="1">
      <x:c r="A119" s="35" t="str">
        <x:v>3aaa4e37-dc91-482e-99af-132a612d40f3_HQ3</x:v>
      </x:c>
      <x:c r="B119" s="36" t="str">
        <x:v>SG_TASK_3aaa4e37-dc91-482e-99af-132a612d40f3</x:v>
      </x:c>
      <x:c r="C119" s="36" t="str">
        <x:v>3aaa4e37-dc91-482e-99af-132a612d40f3</x:v>
      </x:c>
      <x:c r="D119" s="36" t="str">
        <x:v>Export_Calc_to_CSV.xlsx</x:v>
      </x:c>
      <x:c r="E119" s="36" t="str">
        <x:v>single_memory</x:v>
      </x:c>
      <x:c r="F119" s="36" t="str">
        <x:v>contextual_ellipsis</x:v>
      </x:c>
      <x:c r="G119" s="36" t="str">
        <x:v>test</x:v>
      </x:c>
      <x:c r="H119" s="36" t="str">
        <x:v>中等</x:v>
      </x:c>
      <x:c r="I119" s="36" t="str">
        <x:v>3aaa4e37-dc91-482e-99af-132a612d40f3</x:v>
      </x:c>
      <x:c r="J119" s="36" t="str">
        <x:v>CTX_3aaa4e37-dc91-482e-99af-132a612d40f3</x:v>
      </x:c>
      <x:c r="K119" s="36" t="str">
        <x:v>STM_3aaa4e37-dc91-482e-99af-132a612d40f3</x:v>
      </x:c>
      <x:c r="L119" s="36" t="str"/>
      <x:c r="M119" s="36" t="str"/>
      <x:c r="N119" s="36" t="str">
        <x:v>工作流程</x:v>
      </x:c>
      <x:c r="O119" s="36" t="str">
        <x:v>短期</x:v>
      </x:c>
      <x:c r="P119" s="36" t="str">
        <x:v>["libreoffice_calc"]</x:v>
      </x:c>
      <x:c r="Q119" s="36" t="str">
        <x:v>[{"step_id":"S1","app":"libreoffice_calc","action_key":"export_current_sheet_to_csv","input_artifacts":["Export_Calc_to_CSV.xlsx"],"output_artifacts":["Export_Calc_to_CSV.csv"],"depends_on":[]}]</x:v>
      </x:c>
      <x:c r="R119" s="36" t="str">
        <x:v>[]</x:v>
      </x:c>
      <x:c r="S119" s="36" t="str">
        <x:v>export_current_sheet_to_csv</x:v>
      </x:c>
      <x:c r="T119" s="36" t="str">
        <x:v>Export_Calc_to_CSV.xlsx</x:v>
      </x:c>
      <x:c r="U119" s="36" t="str">
        <x:v>retrieve_and_execute</x:v>
      </x:c>
      <x:c r="V119" s="36" t="str">
        <x:v>[{"point_id":"P1","description":"主要处理方式与预期动作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x:v>
      </x:c>
      <x:c r="W119" s="36" t="str">
        <x:v>1.00</x:v>
      </x:c>
      <x:c r="X119" s="39" t="str">
        <x:v>当前 Calc 文件只导出正在看的 sheet，默认格式就行。</x:v>
      </x:c>
      <x:c r="Y119"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119" s="39" t="str">
        <x:v>不适用：当前题目不存在需要用户进一步选择的候选记忆。</x:v>
      </x:c>
      <x:c r="AA119" s="39" t="str">
        <x:v>不适用：当前题目没有指定需要排除的冲突或禁止记忆。</x:v>
      </x:c>
      <x:c r="AB119" s="39" t="str">
        <x:v>应执行以下操作：把 Export_Calc_to_CSV.xlsx 当前工作表按屏幕显示内容导出为默认格式的 CSV，其他导出选项保持不变，CSV 与原 XLSX 使用相同的主文件名。</x:v>
      </x:c>
      <x:c r="AC119"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119" s="39" t="str">
        <x:v>用户的完整请求是：“当前 Calc 文件只导出正在看的 sheet，默认格式就行。”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x:v>
      </x:c>
      <x:c r="AE11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119" s="50" t="str">
        <x:v>not_pass</x:v>
      </x:c>
      <x:c r="AG119" s="50" t="n">
        <x:v>0</x:v>
      </x:c>
    </x:row>
    <x:row r="120" ht="175.5" customHeight="1">
      <x:c r="A120" s="35" t="str">
        <x:v>3aaa4e37-dc91-482e-99af-132a612d40f3_HQ4</x:v>
      </x:c>
      <x:c r="B120" s="36" t="str">
        <x:v>SG_TASK_3aaa4e37-dc91-482e-99af-132a612d40f3</x:v>
      </x:c>
      <x:c r="C120" s="36" t="str">
        <x:v>3aaa4e37-dc91-482e-99af-132a612d40f3</x:v>
      </x:c>
      <x:c r="D120" s="36" t="str">
        <x:v>Export_Calc_to_CSV.xlsx</x:v>
      </x:c>
      <x:c r="E120" s="36" t="str">
        <x:v>single_memory</x:v>
      </x:c>
      <x:c r="F120" s="36" t="str">
        <x:v>low_overlap_paraphrase</x:v>
      </x:c>
      <x:c r="G120" s="36" t="str">
        <x:v>test</x:v>
      </x:c>
      <x:c r="H120" s="36" t="str">
        <x:v>困难</x:v>
      </x:c>
      <x:c r="I120" s="36" t="str">
        <x:v>3aaa4e37-dc91-482e-99af-132a612d40f3</x:v>
      </x:c>
      <x:c r="J120" s="36" t="str">
        <x:v>CTX_3aaa4e37-dc91-482e-99af-132a612d40f3</x:v>
      </x:c>
      <x:c r="K120" s="36" t="str">
        <x:v>STM_3aaa4e37-dc91-482e-99af-132a612d40f3</x:v>
      </x:c>
      <x:c r="L120" s="36" t="str"/>
      <x:c r="M120" s="36" t="str"/>
      <x:c r="N120" s="36" t="str">
        <x:v>工作流程</x:v>
      </x:c>
      <x:c r="O120" s="36" t="str">
        <x:v>短期</x:v>
      </x:c>
      <x:c r="P120" s="36" t="str">
        <x:v>["libreoffice_calc"]</x:v>
      </x:c>
      <x:c r="Q120" s="36" t="str">
        <x:v>[{"step_id":"S1","app":"libreoffice_calc","action_key":"export_current_sheet_to_csv","input_artifacts":["Export_Calc_to_CSV.xlsx"],"output_artifacts":["Export_Calc_to_CSV.csv"],"depends_on":[]}]</x:v>
      </x:c>
      <x:c r="R120" s="36" t="str">
        <x:v>[]</x:v>
      </x:c>
      <x:c r="S120" s="36" t="str">
        <x:v>export_current_sheet_to_csv</x:v>
      </x:c>
      <x:c r="T120" s="36" t="str">
        <x:v>Export_Calc_to_CSV.xlsx</x:v>
      </x:c>
      <x:c r="U120" s="36" t="str">
        <x:v>retrieve_and_execute</x:v>
      </x:c>
      <x:c r="V120" s="36" t="str">
        <x:v>[{"point_id":"P1","description":"主要处理方式与预期动作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x:v>
      </x:c>
      <x:c r="W120" s="36" t="str">
        <x:v>1.00</x:v>
      </x:c>
      <x:c r="X120" s="39" t="str">
        <x:v>为了让别的系统能读，我需要当前页的逗号分隔版本，显示内容照原样保留。</x:v>
      </x:c>
      <x:c r="Y120"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120" s="39" t="str">
        <x:v>不适用：当前题目不存在需要用户进一步选择的候选记忆。</x:v>
      </x:c>
      <x:c r="AA120" s="39" t="str">
        <x:v>不适用：当前题目没有指定需要排除的冲突或禁止记忆。</x:v>
      </x:c>
      <x:c r="AB120" s="39" t="str">
        <x:v>应执行以下操作：把 Export_Calc_to_CSV.xlsx 当前工作表按屏幕显示内容导出为默认格式的 CSV，其他导出选项保持不变，CSV 与原 XLSX 使用相同的主文件名。</x:v>
      </x:c>
      <x:c r="AC120"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120" s="39" t="str">
        <x:v>用户的完整请求是：“为了让别的系统能读，我需要当前页的逗号分隔版本，显示内容照原样保留。”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x:v>
      </x:c>
      <x:c r="AE12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120" s="50" t="str">
        <x:v>not_pass</x:v>
      </x:c>
      <x:c r="AG120" s="50" t="n">
        <x:v>0</x:v>
      </x:c>
    </x:row>
    <x:row r="121" ht="175.5" customHeight="1">
      <x:c r="A121" s="35" t="str">
        <x:v>3aaa4e37-dc91-482e-99af-132a612d40f3_HQ5</x:v>
      </x:c>
      <x:c r="B121" s="36" t="str">
        <x:v>SG_TASK_3aaa4e37-dc91-482e-99af-132a612d40f3</x:v>
      </x:c>
      <x:c r="C121" s="36" t="str">
        <x:v>3aaa4e37-dc91-482e-99af-132a612d40f3</x:v>
      </x:c>
      <x:c r="D121" s="36" t="str">
        <x:v>Export_Calc_to_CSV.xlsx</x:v>
      </x:c>
      <x:c r="E121" s="36" t="str">
        <x:v>single_memory</x:v>
      </x:c>
      <x:c r="F121" s="36" t="str">
        <x:v>human_constraint_emphasis</x:v>
      </x:c>
      <x:c r="G121" s="36" t="str">
        <x:v>test</x:v>
      </x:c>
      <x:c r="H121" s="36" t="str">
        <x:v>困难</x:v>
      </x:c>
      <x:c r="I121" s="36" t="str">
        <x:v>3aaa4e37-dc91-482e-99af-132a612d40f3</x:v>
      </x:c>
      <x:c r="J121" s="36" t="str">
        <x:v>CTX_3aaa4e37-dc91-482e-99af-132a612d40f3</x:v>
      </x:c>
      <x:c r="K121" s="36" t="str">
        <x:v>STM_3aaa4e37-dc91-482e-99af-132a612d40f3</x:v>
      </x:c>
      <x:c r="L121" s="36" t="str"/>
      <x:c r="M121" s="36" t="str"/>
      <x:c r="N121" s="36" t="str">
        <x:v>工作流程</x:v>
      </x:c>
      <x:c r="O121" s="36" t="str">
        <x:v>短期</x:v>
      </x:c>
      <x:c r="P121" s="36" t="str">
        <x:v>["libreoffice_calc"]</x:v>
      </x:c>
      <x:c r="Q121" s="36" t="str">
        <x:v>[{"step_id":"S1","app":"libreoffice_calc","action_key":"export_current_sheet_to_csv","input_artifacts":["Export_Calc_to_CSV.xlsx"],"output_artifacts":["Export_Calc_to_CSV.csv"],"depends_on":[]}]</x:v>
      </x:c>
      <x:c r="R121" s="36" t="str">
        <x:v>[]</x:v>
      </x:c>
      <x:c r="S121" s="36" t="str">
        <x:v>export_current_sheet_to_csv</x:v>
      </x:c>
      <x:c r="T121" s="36" t="str">
        <x:v>Export_Calc_to_CSV.xlsx</x:v>
      </x:c>
      <x:c r="U121" s="36" t="str">
        <x:v>retrieve_and_execute</x:v>
      </x:c>
      <x:c r="V121" s="36" t="str">
        <x:v>[{"point_id":"P1","description":"主要处理方式与预期动作 export_current_sheet_to_csv 语义一致","weight":0.4,"evidence_memory_ids":["STM_3aaa4e37-dc91-482e-99af-132a612d40f3"]},{"point_id":"P2","description":"正确定位目标对象 Export_Calc_to_CSV.xlsx","weight":0.2,"evidence_memory_ids":["STM_3aaa4e37-dc91-482e-99af-132a612d40f3"]},{"point_id":"P3","description":"满足关键条件：只导出当前工作表；保持默认 CSV 选项；文件主名与原 XLSX 相同","weight":0.3,"evidence_memory_ids":["STM_3aaa4e37-dc91-482e-99af-132a612d40f3"]},{"point_id":"P4","description":"不增加无记忆证据支持的操作","weight":0.1,"evidence_memory_ids":["STM_3aaa4e37-dc91-482e-99af-132a612d40f3"]}]</x:v>
      </x:c>
      <x:c r="W121" s="36" t="str">
        <x:v>1.00</x:v>
      </x:c>
      <x:c r="X121" s="39" t="str">
        <x:v>这次还是当前 sheet 导出 CSV，主文件名不变，其余设置保持默认。</x:v>
      </x:c>
      <x:c r="Y121"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121" s="39" t="str">
        <x:v>不适用：当前题目不存在需要用户进一步选择的候选记忆。</x:v>
      </x:c>
      <x:c r="AA121" s="39" t="str">
        <x:v>不适用：当前题目没有指定需要排除的冲突或禁止记忆。</x:v>
      </x:c>
      <x:c r="AB121" s="39" t="str">
        <x:v>应执行以下操作：把 Export_Calc_to_CSV.xlsx 当前工作表按屏幕显示内容导出为默认格式的 CSV，其他导出选项保持不变，CSV 与原 XLSX 使用相同的主文件名。</x:v>
      </x:c>
      <x:c r="AC121"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121" s="39" t="str">
        <x:v>用户的完整请求是：“这次还是当前 sheet 导出 CSV，主文件名不变，其余设置保持默认。” 第1个当前上下文：Export_Calc_to_CSV.xlsx 已在 LibreOffice Calc 中打开。 当前请求是在已有办公上下文中继续、复用或重新强调既有处理方式。与该请求唯一对应的完整必需记忆如下：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Export_Calc_to_CSV.xlsx 当前工作表按屏幕显示内容导出为默认格式的 CSV，其他导出选项保持不变，CSV 与原 XLSX 使用相同的主文件名。”</x:v>
      </x:c>
      <x:c r="AE12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第2个得分点（0.20分）：正确定位目标对象 Export_Calc_to_CSV.xlsx。该得分点所依据的完整证据为：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第3个得分点（0.30分）：满足关键条件：只导出当前工作表；保持默认 CSV 选项；文件主名与原 XLSX 相同。该得分点所依据的完整证据为：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第4个得分点（0.10分）：不增加无记忆证据支持的操作。该得分点所依据的完整证据为：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121" s="50" t="str">
        <x:v>not_pass</x:v>
      </x:c>
      <x:c r="AG121" s="50" t="n">
        <x:v>0</x:v>
      </x:c>
    </x:row>
    <x:row r="122" ht="175.5" customHeight="1">
      <x:c r="A122" s="35" t="str">
        <x:v>4172ea6e-6b77-4edb-a9cc-c0014bd1603b_HQ1</x:v>
      </x:c>
      <x:c r="B122" s="36" t="str">
        <x:v>SG_TASK_4172ea6e-6b77-4edb-a9cc-c0014bd1603b</x:v>
      </x:c>
      <x:c r="C122" s="36" t="str">
        <x:v>4172ea6e-6b77-4edb-a9cc-c0014bd1603b</x:v>
      </x:c>
      <x:c r="D122" s="36" t="str">
        <x:v>MaturityDate.xlsx</x:v>
      </x:c>
      <x:c r="E122" s="36" t="str">
        <x:v>single_memory</x:v>
      </x:c>
      <x:c r="F122" s="36" t="str">
        <x:v>human_context_explicit</x:v>
      </x:c>
      <x:c r="G122" s="36" t="str">
        <x:v>train</x:v>
      </x:c>
      <x:c r="H122" s="36" t="str">
        <x:v>简单</x:v>
      </x:c>
      <x:c r="I122" s="36" t="str">
        <x:v>4172ea6e-6b77-4edb-a9cc-c0014bd1603b</x:v>
      </x:c>
      <x:c r="J122" s="36" t="str">
        <x:v>CTX_4172ea6e-6b77-4edb-a9cc-c0014bd1603b</x:v>
      </x:c>
      <x:c r="K122" s="36" t="str">
        <x:v>STM_4172ea6e-6b77-4edb-a9cc-c0014bd1603b</x:v>
      </x:c>
      <x:c r="L122" s="36" t="str"/>
      <x:c r="M122" s="36" t="str"/>
      <x:c r="N122" s="36" t="str">
        <x:v>知识</x:v>
      </x:c>
      <x:c r="O122" s="36" t="str">
        <x:v>短期</x:v>
      </x:c>
      <x:c r="P122" s="36" t="str">
        <x:v>["libreoffice_calc"]</x:v>
      </x:c>
      <x:c r="Q122" s="36" t="str">
        <x:v>[{"step_id":"S1","app":"libreoffice_calc","action_key":"calculate_loan_maturity_dates","input_artifacts":["MaturityDate.xlsx"],"output_artifacts":["MaturityDate.xlsx"],"depends_on":[]}]</x:v>
      </x:c>
      <x:c r="R122" s="36" t="str">
        <x:v>[]</x:v>
      </x:c>
      <x:c r="S122" s="36" t="str">
        <x:v>calculate_loan_maturity_dates</x:v>
      </x:c>
      <x:c r="T122" s="36" t="str">
        <x:v>MaturityDate.xlsx</x:v>
      </x:c>
      <x:c r="U122" s="36" t="str">
        <x:v>retrieve_and_execute</x:v>
      </x:c>
      <x:c r="V122" s="36" t="str">
        <x:v>[{"point_id":"P1","description":"主要处理方式与预期动作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x:v>
      </x:c>
      <x:c r="W122" s="36" t="str">
        <x:v>1.00</x:v>
      </x:c>
      <x:c r="X122" s="39" t="str">
        <x:v>MaturityDate.xlsx 里的贷款到期日按之前的计算方法补到新列，所有记录都要算。</x:v>
      </x:c>
      <x:c r="Y122" s="39" t="str">
        <x:v>第1条记忆（短期/知识）：在 MaturityDate.xlsx 新增 Maturity Date 列，根据每笔贷款已有的日期和期限信息计算全部贷款的到期日。关键约束：新列标题必须为 Maturity Date；覆盖所有贷款记录；保留原始列。</x:v>
      </x:c>
      <x:c r="Z122" s="39" t="str">
        <x:v>不适用：当前题目不存在需要用户进一步选择的候选记忆。</x:v>
      </x:c>
      <x:c r="AA122" s="39" t="str">
        <x:v>不适用：当前题目没有指定需要排除的冲突或禁止记忆。</x:v>
      </x:c>
      <x:c r="AB122" s="39" t="str">
        <x:v>应执行以下操作：在 MaturityDate.xlsx 新增 Maturity Date 列，根据每笔贷款已有的日期和期限信息计算全部贷款的到期日。</x:v>
      </x:c>
      <x:c r="AC122" s="39" t="str">
        <x:v>第1项实际操作：在 MaturityDate.xlsx 新增 Maturity Date 列，根据每笔贷款已有的日期和期限信息计算全部贷款的到期日。执行时必须满足：新列标题必须为 Maturity Date；覆盖所有贷款记录；保留原始列。</x:v>
      </x:c>
      <x:c r="AD122" s="39" t="str">
        <x:v>用户的完整请求是：“MaturityDate.xlsx 里的贷款到期日按之前的计算方法补到新列，所有记录都要算。”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x:v>
      </x:c>
      <x:c r="AE12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122" s="50" t="str">
        <x:v>not_pass</x:v>
      </x:c>
      <x:c r="AG122" s="50" t="n">
        <x:v>0</x:v>
      </x:c>
    </x:row>
    <x:row r="123" ht="175.5" customHeight="1">
      <x:c r="A123" s="35" t="str">
        <x:v>4172ea6e-6b77-4edb-a9cc-c0014bd1603b_HQ2</x:v>
      </x:c>
      <x:c r="B123" s="36" t="str">
        <x:v>SG_TASK_4172ea6e-6b77-4edb-a9cc-c0014bd1603b</x:v>
      </x:c>
      <x:c r="C123" s="36" t="str">
        <x:v>4172ea6e-6b77-4edb-a9cc-c0014bd1603b</x:v>
      </x:c>
      <x:c r="D123" s="36" t="str">
        <x:v>MaturityDate.xlsx</x:v>
      </x:c>
      <x:c r="E123" s="36" t="str">
        <x:v>single_memory</x:v>
      </x:c>
      <x:c r="F123" s="36" t="str">
        <x:v>human_goal_oriented</x:v>
      </x:c>
      <x:c r="G123" s="36" t="str">
        <x:v>train</x:v>
      </x:c>
      <x:c r="H123" s="36" t="str">
        <x:v>中等</x:v>
      </x:c>
      <x:c r="I123" s="36" t="str">
        <x:v>4172ea6e-6b77-4edb-a9cc-c0014bd1603b</x:v>
      </x:c>
      <x:c r="J123" s="36" t="str">
        <x:v>CTX_4172ea6e-6b77-4edb-a9cc-c0014bd1603b</x:v>
      </x:c>
      <x:c r="K123" s="36" t="str">
        <x:v>STM_4172ea6e-6b77-4edb-a9cc-c0014bd1603b</x:v>
      </x:c>
      <x:c r="L123" s="36" t="str"/>
      <x:c r="M123" s="36" t="str"/>
      <x:c r="N123" s="36" t="str">
        <x:v>知识</x:v>
      </x:c>
      <x:c r="O123" s="36" t="str">
        <x:v>短期</x:v>
      </x:c>
      <x:c r="P123" s="36" t="str">
        <x:v>["libreoffice_calc"]</x:v>
      </x:c>
      <x:c r="Q123" s="36" t="str">
        <x:v>[{"step_id":"S1","app":"libreoffice_calc","action_key":"calculate_loan_maturity_dates","input_artifacts":["MaturityDate.xlsx"],"output_artifacts":["MaturityDate.xlsx"],"depends_on":[]}]</x:v>
      </x:c>
      <x:c r="R123" s="36" t="str">
        <x:v>[]</x:v>
      </x:c>
      <x:c r="S123" s="36" t="str">
        <x:v>calculate_loan_maturity_dates</x:v>
      </x:c>
      <x:c r="T123" s="36" t="str">
        <x:v>MaturityDate.xlsx</x:v>
      </x:c>
      <x:c r="U123" s="36" t="str">
        <x:v>retrieve_and_execute</x:v>
      </x:c>
      <x:c r="V123" s="36" t="str">
        <x:v>[{"point_id":"P1","description":"主要处理方式与预期动作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x:v>
      </x:c>
      <x:c r="W123" s="36" t="str">
        <x:v>1.00</x:v>
      </x:c>
      <x:c r="X123" s="39" t="str">
        <x:v>我需要知道每笔贷款什么时候到期，麻烦根据现有日期和期限生成 Maturity Date。</x:v>
      </x:c>
      <x:c r="Y123" s="39" t="str">
        <x:v>第1条记忆（短期/知识）：在 MaturityDate.xlsx 新增 Maturity Date 列，根据每笔贷款已有的日期和期限信息计算全部贷款的到期日。关键约束：新列标题必须为 Maturity Date；覆盖所有贷款记录；保留原始列。</x:v>
      </x:c>
      <x:c r="Z123" s="39" t="str">
        <x:v>不适用：当前题目不存在需要用户进一步选择的候选记忆。</x:v>
      </x:c>
      <x:c r="AA123" s="39" t="str">
        <x:v>不适用：当前题目没有指定需要排除的冲突或禁止记忆。</x:v>
      </x:c>
      <x:c r="AB123" s="39" t="str">
        <x:v>应执行以下操作：在 MaturityDate.xlsx 新增 Maturity Date 列，根据每笔贷款已有的日期和期限信息计算全部贷款的到期日。</x:v>
      </x:c>
      <x:c r="AC123" s="39" t="str">
        <x:v>第1项实际操作：在 MaturityDate.xlsx 新增 Maturity Date 列，根据每笔贷款已有的日期和期限信息计算全部贷款的到期日。执行时必须满足：新列标题必须为 Maturity Date；覆盖所有贷款记录；保留原始列。</x:v>
      </x:c>
      <x:c r="AD123" s="39" t="str">
        <x:v>用户的完整请求是：“我需要知道每笔贷款什么时候到期，麻烦根据现有日期和期限生成 Maturity Date。”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x:v>
      </x:c>
      <x:c r="AE12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123" s="50" t="str">
        <x:v>not_pass</x:v>
      </x:c>
      <x:c r="AG123" s="50" t="n">
        <x:v>0</x:v>
      </x:c>
    </x:row>
    <x:row r="124" ht="175.5" customHeight="1">
      <x:c r="A124" s="35" t="str">
        <x:v>4172ea6e-6b77-4edb-a9cc-c0014bd1603b_HQ3</x:v>
      </x:c>
      <x:c r="B124" s="36" t="str">
        <x:v>SG_TASK_4172ea6e-6b77-4edb-a9cc-c0014bd1603b</x:v>
      </x:c>
      <x:c r="C124" s="36" t="str">
        <x:v>4172ea6e-6b77-4edb-a9cc-c0014bd1603b</x:v>
      </x:c>
      <x:c r="D124" s="36" t="str">
        <x:v>MaturityDate.xlsx</x:v>
      </x:c>
      <x:c r="E124" s="36" t="str">
        <x:v>single_memory</x:v>
      </x:c>
      <x:c r="F124" s="36" t="str">
        <x:v>contextual_ellipsis</x:v>
      </x:c>
      <x:c r="G124" s="36" t="str">
        <x:v>train</x:v>
      </x:c>
      <x:c r="H124" s="36" t="str">
        <x:v>中等</x:v>
      </x:c>
      <x:c r="I124" s="36" t="str">
        <x:v>4172ea6e-6b77-4edb-a9cc-c0014bd1603b</x:v>
      </x:c>
      <x:c r="J124" s="36" t="str">
        <x:v>CTX_4172ea6e-6b77-4edb-a9cc-c0014bd1603b</x:v>
      </x:c>
      <x:c r="K124" s="36" t="str">
        <x:v>STM_4172ea6e-6b77-4edb-a9cc-c0014bd1603b</x:v>
      </x:c>
      <x:c r="L124" s="36" t="str"/>
      <x:c r="M124" s="36" t="str"/>
      <x:c r="N124" s="36" t="str">
        <x:v>知识</x:v>
      </x:c>
      <x:c r="O124" s="36" t="str">
        <x:v>短期</x:v>
      </x:c>
      <x:c r="P124" s="36" t="str">
        <x:v>["libreoffice_calc"]</x:v>
      </x:c>
      <x:c r="Q124" s="36" t="str">
        <x:v>[{"step_id":"S1","app":"libreoffice_calc","action_key":"calculate_loan_maturity_dates","input_artifacts":["MaturityDate.xlsx"],"output_artifacts":["MaturityDate.xlsx"],"depends_on":[]}]</x:v>
      </x:c>
      <x:c r="R124" s="36" t="str">
        <x:v>[]</x:v>
      </x:c>
      <x:c r="S124" s="36" t="str">
        <x:v>calculate_loan_maturity_dates</x:v>
      </x:c>
      <x:c r="T124" s="36" t="str">
        <x:v>MaturityDate.xlsx</x:v>
      </x:c>
      <x:c r="U124" s="36" t="str">
        <x:v>retrieve_and_execute</x:v>
      </x:c>
      <x:c r="V124" s="36" t="str">
        <x:v>[{"point_id":"P1","description":"主要处理方式与预期动作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x:v>
      </x:c>
      <x:c r="W124" s="36" t="str">
        <x:v>1.00</x:v>
      </x:c>
      <x:c r="X124" s="39" t="str">
        <x:v>当前贷款表继续补到期日列，原始字段保留。</x:v>
      </x:c>
      <x:c r="Y124" s="39" t="str">
        <x:v>第1条记忆（短期/知识）：在 MaturityDate.xlsx 新增 Maturity Date 列，根据每笔贷款已有的日期和期限信息计算全部贷款的到期日。关键约束：新列标题必须为 Maturity Date；覆盖所有贷款记录；保留原始列。</x:v>
      </x:c>
      <x:c r="Z124" s="39" t="str">
        <x:v>不适用：当前题目不存在需要用户进一步选择的候选记忆。</x:v>
      </x:c>
      <x:c r="AA124" s="39" t="str">
        <x:v>不适用：当前题目没有指定需要排除的冲突或禁止记忆。</x:v>
      </x:c>
      <x:c r="AB124" s="39" t="str">
        <x:v>应执行以下操作：在 MaturityDate.xlsx 新增 Maturity Date 列，根据每笔贷款已有的日期和期限信息计算全部贷款的到期日。</x:v>
      </x:c>
      <x:c r="AC124" s="39" t="str">
        <x:v>第1项实际操作：在 MaturityDate.xlsx 新增 Maturity Date 列，根据每笔贷款已有的日期和期限信息计算全部贷款的到期日。执行时必须满足：新列标题必须为 Maturity Date；覆盖所有贷款记录；保留原始列。</x:v>
      </x:c>
      <x:c r="AD124" s="39" t="str">
        <x:v>用户的完整请求是：“当前贷款表继续补到期日列，原始字段保留。”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x:v>
      </x:c>
      <x:c r="AE12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124" s="50" t="str">
        <x:v>not_pass</x:v>
      </x:c>
      <x:c r="AG124" s="50" t="n">
        <x:v>0</x:v>
      </x:c>
    </x:row>
    <x:row r="125" ht="175.5" customHeight="1">
      <x:c r="A125" s="35" t="str">
        <x:v>4172ea6e-6b77-4edb-a9cc-c0014bd1603b_HQ4</x:v>
      </x:c>
      <x:c r="B125" s="36" t="str">
        <x:v>SG_TASK_4172ea6e-6b77-4edb-a9cc-c0014bd1603b</x:v>
      </x:c>
      <x:c r="C125" s="36" t="str">
        <x:v>4172ea6e-6b77-4edb-a9cc-c0014bd1603b</x:v>
      </x:c>
      <x:c r="D125" s="36" t="str">
        <x:v>MaturityDate.xlsx</x:v>
      </x:c>
      <x:c r="E125" s="36" t="str">
        <x:v>single_memory</x:v>
      </x:c>
      <x:c r="F125" s="36" t="str">
        <x:v>low_overlap_paraphrase</x:v>
      </x:c>
      <x:c r="G125" s="36" t="str">
        <x:v>train</x:v>
      </x:c>
      <x:c r="H125" s="36" t="str">
        <x:v>困难</x:v>
      </x:c>
      <x:c r="I125" s="36" t="str">
        <x:v>4172ea6e-6b77-4edb-a9cc-c0014bd1603b</x:v>
      </x:c>
      <x:c r="J125" s="36" t="str">
        <x:v>CTX_4172ea6e-6b77-4edb-a9cc-c0014bd1603b</x:v>
      </x:c>
      <x:c r="K125" s="36" t="str">
        <x:v>STM_4172ea6e-6b77-4edb-a9cc-c0014bd1603b</x:v>
      </x:c>
      <x:c r="L125" s="36" t="str"/>
      <x:c r="M125" s="36" t="str"/>
      <x:c r="N125" s="36" t="str">
        <x:v>知识</x:v>
      </x:c>
      <x:c r="O125" s="36" t="str">
        <x:v>短期</x:v>
      </x:c>
      <x:c r="P125" s="36" t="str">
        <x:v>["libreoffice_calc"]</x:v>
      </x:c>
      <x:c r="Q125" s="36" t="str">
        <x:v>[{"step_id":"S1","app":"libreoffice_calc","action_key":"calculate_loan_maturity_dates","input_artifacts":["MaturityDate.xlsx"],"output_artifacts":["MaturityDate.xlsx"],"depends_on":[]}]</x:v>
      </x:c>
      <x:c r="R125" s="36" t="str">
        <x:v>[]</x:v>
      </x:c>
      <x:c r="S125" s="36" t="str">
        <x:v>calculate_loan_maturity_dates</x:v>
      </x:c>
      <x:c r="T125" s="36" t="str">
        <x:v>MaturityDate.xlsx</x:v>
      </x:c>
      <x:c r="U125" s="36" t="str">
        <x:v>retrieve_and_execute</x:v>
      </x:c>
      <x:c r="V125" s="36" t="str">
        <x:v>[{"point_id":"P1","description":"主要处理方式与预期动作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x:v>
      </x:c>
      <x:c r="W125" s="36" t="str">
        <x:v>1.00</x:v>
      </x:c>
      <x:c r="X125" s="39" t="str">
        <x:v>为了做催收计划，把每条借款对应的最终日期统一算出来并单独成列。</x:v>
      </x:c>
      <x:c r="Y125" s="39" t="str">
        <x:v>第1条记忆（短期/知识）：在 MaturityDate.xlsx 新增 Maturity Date 列，根据每笔贷款已有的日期和期限信息计算全部贷款的到期日。关键约束：新列标题必须为 Maturity Date；覆盖所有贷款记录；保留原始列。</x:v>
      </x:c>
      <x:c r="Z125" s="39" t="str">
        <x:v>不适用：当前题目不存在需要用户进一步选择的候选记忆。</x:v>
      </x:c>
      <x:c r="AA125" s="39" t="str">
        <x:v>不适用：当前题目没有指定需要排除的冲突或禁止记忆。</x:v>
      </x:c>
      <x:c r="AB125" s="39" t="str">
        <x:v>应执行以下操作：在 MaturityDate.xlsx 新增 Maturity Date 列，根据每笔贷款已有的日期和期限信息计算全部贷款的到期日。</x:v>
      </x:c>
      <x:c r="AC125" s="39" t="str">
        <x:v>第1项实际操作：在 MaturityDate.xlsx 新增 Maturity Date 列，根据每笔贷款已有的日期和期限信息计算全部贷款的到期日。执行时必须满足：新列标题必须为 Maturity Date；覆盖所有贷款记录；保留原始列。</x:v>
      </x:c>
      <x:c r="AD125" s="39" t="str">
        <x:v>用户的完整请求是：“为了做催收计划，把每条借款对应的最终日期统一算出来并单独成列。”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x:v>
      </x:c>
      <x:c r="AE12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125" s="50" t="str">
        <x:v>not_pass</x:v>
      </x:c>
      <x:c r="AG125" s="50" t="n">
        <x:v>0</x:v>
      </x:c>
    </x:row>
    <x:row r="126" ht="175.5" customHeight="1">
      <x:c r="A126" s="35" t="str">
        <x:v>4172ea6e-6b77-4edb-a9cc-c0014bd1603b_HQ5</x:v>
      </x:c>
      <x:c r="B126" s="36" t="str">
        <x:v>SG_TASK_4172ea6e-6b77-4edb-a9cc-c0014bd1603b</x:v>
      </x:c>
      <x:c r="C126" s="36" t="str">
        <x:v>4172ea6e-6b77-4edb-a9cc-c0014bd1603b</x:v>
      </x:c>
      <x:c r="D126" s="36" t="str">
        <x:v>MaturityDate.xlsx</x:v>
      </x:c>
      <x:c r="E126" s="36" t="str">
        <x:v>single_memory</x:v>
      </x:c>
      <x:c r="F126" s="36" t="str">
        <x:v>human_constraint_emphasis</x:v>
      </x:c>
      <x:c r="G126" s="36" t="str">
        <x:v>train</x:v>
      </x:c>
      <x:c r="H126" s="36" t="str">
        <x:v>困难</x:v>
      </x:c>
      <x:c r="I126" s="36" t="str">
        <x:v>4172ea6e-6b77-4edb-a9cc-c0014bd1603b</x:v>
      </x:c>
      <x:c r="J126" s="36" t="str">
        <x:v>CTX_4172ea6e-6b77-4edb-a9cc-c0014bd1603b</x:v>
      </x:c>
      <x:c r="K126" s="36" t="str">
        <x:v>STM_4172ea6e-6b77-4edb-a9cc-c0014bd1603b</x:v>
      </x:c>
      <x:c r="L126" s="36" t="str"/>
      <x:c r="M126" s="36" t="str"/>
      <x:c r="N126" s="36" t="str">
        <x:v>知识</x:v>
      </x:c>
      <x:c r="O126" s="36" t="str">
        <x:v>短期</x:v>
      </x:c>
      <x:c r="P126" s="36" t="str">
        <x:v>["libreoffice_calc"]</x:v>
      </x:c>
      <x:c r="Q126" s="36" t="str">
        <x:v>[{"step_id":"S1","app":"libreoffice_calc","action_key":"calculate_loan_maturity_dates","input_artifacts":["MaturityDate.xlsx"],"output_artifacts":["MaturityDate.xlsx"],"depends_on":[]}]</x:v>
      </x:c>
      <x:c r="R126" s="36" t="str">
        <x:v>[]</x:v>
      </x:c>
      <x:c r="S126" s="36" t="str">
        <x:v>calculate_loan_maturity_dates</x:v>
      </x:c>
      <x:c r="T126" s="36" t="str">
        <x:v>MaturityDate.xlsx</x:v>
      </x:c>
      <x:c r="U126" s="36" t="str">
        <x:v>retrieve_and_execute</x:v>
      </x:c>
      <x:c r="V126" s="36" t="str">
        <x:v>[{"point_id":"P1","description":"主要处理方式与预期动作 calculate_loan_maturity_dates 语义一致","weight":0.4,"evidence_memory_ids":["STM_4172ea6e-6b77-4edb-a9cc-c0014bd1603b"]},{"point_id":"P2","description":"正确定位目标对象 MaturityDate.xlsx","weight":0.2,"evidence_memory_ids":["STM_4172ea6e-6b77-4edb-a9cc-c0014bd1603b"]},{"point_id":"P3","description":"满足关键条件：新列标题必须为 Maturity Date；覆盖所有贷款记录；保留原始列","weight":0.3,"evidence_memory_ids":["STM_4172ea6e-6b77-4edb-a9cc-c0014bd1603b"]},{"point_id":"P4","description":"不增加无记忆证据支持的操作","weight":0.1,"evidence_memory_ids":["STM_4172ea6e-6b77-4edb-a9cc-c0014bd1603b"]}]</x:v>
      </x:c>
      <x:c r="W126" s="36" t="str">
        <x:v>1.00</x:v>
      </x:c>
      <x:c r="X126" s="39" t="str">
        <x:v>新列名用 Maturity Date，逐笔算完，不要覆盖原来的日期和期限。</x:v>
      </x:c>
      <x:c r="Y126" s="39" t="str">
        <x:v>第1条记忆（短期/知识）：在 MaturityDate.xlsx 新增 Maturity Date 列，根据每笔贷款已有的日期和期限信息计算全部贷款的到期日。关键约束：新列标题必须为 Maturity Date；覆盖所有贷款记录；保留原始列。</x:v>
      </x:c>
      <x:c r="Z126" s="39" t="str">
        <x:v>不适用：当前题目不存在需要用户进一步选择的候选记忆。</x:v>
      </x:c>
      <x:c r="AA126" s="39" t="str">
        <x:v>不适用：当前题目没有指定需要排除的冲突或禁止记忆。</x:v>
      </x:c>
      <x:c r="AB126" s="39" t="str">
        <x:v>应执行以下操作：在 MaturityDate.xlsx 新增 Maturity Date 列，根据每笔贷款已有的日期和期限信息计算全部贷款的到期日。</x:v>
      </x:c>
      <x:c r="AC126" s="39" t="str">
        <x:v>第1项实际操作：在 MaturityDate.xlsx 新增 Maturity Date 列，根据每笔贷款已有的日期和期限信息计算全部贷款的到期日。执行时必须满足：新列标题必须为 Maturity Date；覆盖所有贷款记录；保留原始列。</x:v>
      </x:c>
      <x:c r="AD126" s="39" t="str">
        <x:v>用户的完整请求是：“新列名用 Maturity Date，逐笔算完，不要覆盖原来的日期和期限。” 第1个当前上下文：MaturityDate.xlsx 已在 LibreOffice Calc 中打开。 当前请求是在已有办公上下文中继续、复用或重新强调既有处理方式。与该请求唯一对应的完整必需记忆如下：
第1条记忆（短期/知识）：在 MaturityDate.xlsx 新增 Maturity Date 列，根据每笔贷款已有的日期和期限信息计算全部贷款的到期日。关键约束：新列标题必须为 Maturity Date；覆盖所有贷款记录；保留原始列。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MaturityDate.xlsx 新增 Maturity Date 列，根据每笔贷款已有的日期和期限信息计算全部贷款的到期日。”</x:v>
      </x:c>
      <x:c r="AE12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第2个得分点（0.20分）：正确定位目标对象 MaturityDate.xlsx。该得分点所依据的完整证据为：
第1条记忆（短期/知识）：在 MaturityDate.xlsx 新增 Maturity Date 列，根据每笔贷款已有的日期和期限信息计算全部贷款的到期日。关键约束：新列标题必须为 Maturity Date；覆盖所有贷款记录；保留原始列。
第3个得分点（0.30分）：满足关键条件：新列标题必须为 Maturity Date；覆盖所有贷款记录；保留原始列。该得分点所依据的完整证据为：
第1条记忆（短期/知识）：在 MaturityDate.xlsx 新增 Maturity Date 列，根据每笔贷款已有的日期和期限信息计算全部贷款的到期日。关键约束：新列标题必须为 Maturity Date；覆盖所有贷款记录；保留原始列。
第4个得分点（0.10分）：不增加无记忆证据支持的操作。该得分点所依据的完整证据为：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126" s="50" t="str">
        <x:v>not_pass</x:v>
      </x:c>
      <x:c r="AG126" s="50" t="n">
        <x:v>0</x:v>
      </x:c>
    </x:row>
    <x:row r="127" ht="165" customHeight="1">
      <x:c r="A127" s="35" t="str">
        <x:v>4188d3a4-077d-46b7-9c86-23e1a036f6c1_HQ1</x:v>
      </x:c>
      <x:c r="B127" s="36" t="str">
        <x:v>SG_TASK_4188d3a4-077d-46b7-9c86-23e1a036f6c1</x:v>
      </x:c>
      <x:c r="C127" s="36" t="str">
        <x:v>4188d3a4-077d-46b7-9c86-23e1a036f6c1</x:v>
      </x:c>
      <x:c r="D127" s="36" t="str">
        <x:v>Freeze_row_column.xlsx</x:v>
      </x:c>
      <x:c r="E127" s="36" t="str">
        <x:v>single_memory</x:v>
      </x:c>
      <x:c r="F127" s="36" t="str">
        <x:v>human_context_explicit</x:v>
      </x:c>
      <x:c r="G127" s="36" t="str">
        <x:v>train</x:v>
      </x:c>
      <x:c r="H127" s="36" t="str">
        <x:v>简单</x:v>
      </x:c>
      <x:c r="I127" s="36" t="str">
        <x:v>4188d3a4-077d-46b7-9c86-23e1a036f6c1</x:v>
      </x:c>
      <x:c r="J127" s="36" t="str">
        <x:v>CTX_4188d3a4-077d-46b7-9c86-23e1a036f6c1</x:v>
      </x:c>
      <x:c r="K127" s="36" t="str">
        <x:v>MTM_4188d3a4-077d-46b7-9c86-23e1a036f6c1</x:v>
      </x:c>
      <x:c r="L127" s="36" t="str"/>
      <x:c r="M127" s="36" t="str"/>
      <x:c r="N127" s="36" t="str">
        <x:v>工作流程</x:v>
      </x:c>
      <x:c r="O127" s="36" t="str">
        <x:v>中期</x:v>
      </x:c>
      <x:c r="P127" s="36" t="str">
        <x:v>["libreoffice_calc"]</x:v>
      </x:c>
      <x:c r="Q127" s="36" t="str">
        <x:v>[{"step_id":"S1","app":"libreoffice_calc","action_key":"freeze_header_range_a1_b1","input_artifacts":["Freeze_row_column.xlsx"],"output_artifacts":["Freeze_row_column.xlsx"],"depends_on":[]}]</x:v>
      </x:c>
      <x:c r="R127" s="36" t="str">
        <x:v>[]</x:v>
      </x:c>
      <x:c r="S127" s="36" t="str">
        <x:v>freeze_header_range_a1_b1</x:v>
      </x:c>
      <x:c r="T127" s="36" t="str">
        <x:v>Freeze_row_column.xlsx</x:v>
      </x:c>
      <x:c r="U127" s="36" t="str">
        <x:v>retrieve_and_execute</x:v>
      </x:c>
      <x:c r="V127" s="36" t="str">
        <x:v>[{"point_id":"P1","description":"主要处理方式与预期动作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x:v>
      </x:c>
      <x:c r="W127" s="36" t="str">
        <x:v>1.00</x:v>
      </x:c>
      <x:c r="X127" s="39" t="str">
        <x:v>Freeze_row_column.xlsx 往下滚时表头会丢，按之前的方法把 A1:B1 固定住。</x:v>
      </x:c>
      <x:c r="Y127" s="39" t="str">
        <x:v>第1条记忆（中期/工作流程）：在 Freeze_row_column.xlsx 中冻结 A1:B1 对应的表头区域，使滚动工作表时这些表头保持可见。关键约束：冻结目标为 A1:B1；不修改表头内容或其他格式。</x:v>
      </x:c>
      <x:c r="Z127" s="39" t="str">
        <x:v>不适用：当前题目不存在需要用户进一步选择的候选记忆。</x:v>
      </x:c>
      <x:c r="AA127" s="39" t="str">
        <x:v>不适用：当前题目没有指定需要排除的冲突或禁止记忆。</x:v>
      </x:c>
      <x:c r="AB127" s="39" t="str">
        <x:v>应执行以下操作：在 Freeze_row_column.xlsx 中冻结 A1:B1 对应的表头区域，使滚动工作表时这些表头保持可见。</x:v>
      </x:c>
      <x:c r="AC127" s="39" t="str">
        <x:v>第1项实际操作：在 Freeze_row_column.xlsx 中冻结 A1:B1 对应的表头区域，使滚动工作表时这些表头保持可见。执行时必须满足：冻结目标为 A1:B1；不修改表头内容或其他格式。</x:v>
      </x:c>
      <x:c r="AD127" s="39" t="str">
        <x:v>用户的完整请求是：“Freeze_row_column.xlsx 往下滚时表头会丢，按之前的方法把 A1:B1 固定住。”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x:v>
      </x:c>
      <x:c r="AE12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127" s="50" t="str">
        <x:v>not_pass</x:v>
      </x:c>
      <x:c r="AG127" s="50" t="n">
        <x:v>0</x:v>
      </x:c>
    </x:row>
    <x:row r="128" ht="165" customHeight="1">
      <x:c r="A128" s="35" t="str">
        <x:v>4188d3a4-077d-46b7-9c86-23e1a036f6c1_HQ2</x:v>
      </x:c>
      <x:c r="B128" s="36" t="str">
        <x:v>SG_TASK_4188d3a4-077d-46b7-9c86-23e1a036f6c1</x:v>
      </x:c>
      <x:c r="C128" s="36" t="str">
        <x:v>4188d3a4-077d-46b7-9c86-23e1a036f6c1</x:v>
      </x:c>
      <x:c r="D128" s="36" t="str">
        <x:v>Freeze_row_column.xlsx</x:v>
      </x:c>
      <x:c r="E128" s="36" t="str">
        <x:v>single_memory</x:v>
      </x:c>
      <x:c r="F128" s="36" t="str">
        <x:v>human_goal_oriented</x:v>
      </x:c>
      <x:c r="G128" s="36" t="str">
        <x:v>train</x:v>
      </x:c>
      <x:c r="H128" s="36" t="str">
        <x:v>中等</x:v>
      </x:c>
      <x:c r="I128" s="36" t="str">
        <x:v>4188d3a4-077d-46b7-9c86-23e1a036f6c1</x:v>
      </x:c>
      <x:c r="J128" s="36" t="str">
        <x:v>CTX_4188d3a4-077d-46b7-9c86-23e1a036f6c1</x:v>
      </x:c>
      <x:c r="K128" s="36" t="str">
        <x:v>MTM_4188d3a4-077d-46b7-9c86-23e1a036f6c1</x:v>
      </x:c>
      <x:c r="L128" s="36" t="str"/>
      <x:c r="M128" s="36" t="str"/>
      <x:c r="N128" s="36" t="str">
        <x:v>工作流程</x:v>
      </x:c>
      <x:c r="O128" s="36" t="str">
        <x:v>中期</x:v>
      </x:c>
      <x:c r="P128" s="36" t="str">
        <x:v>["libreoffice_calc"]</x:v>
      </x:c>
      <x:c r="Q128" s="36" t="str">
        <x:v>[{"step_id":"S1","app":"libreoffice_calc","action_key":"freeze_header_range_a1_b1","input_artifacts":["Freeze_row_column.xlsx"],"output_artifacts":["Freeze_row_column.xlsx"],"depends_on":[]}]</x:v>
      </x:c>
      <x:c r="R128" s="36" t="str">
        <x:v>[]</x:v>
      </x:c>
      <x:c r="S128" s="36" t="str">
        <x:v>freeze_header_range_a1_b1</x:v>
      </x:c>
      <x:c r="T128" s="36" t="str">
        <x:v>Freeze_row_column.xlsx</x:v>
      </x:c>
      <x:c r="U128" s="36" t="str">
        <x:v>retrieve_and_execute</x:v>
      </x:c>
      <x:c r="V128" s="36" t="str">
        <x:v>[{"point_id":"P1","description":"主要处理方式与预期动作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x:v>
      </x:c>
      <x:c r="W128" s="36" t="str">
        <x:v>1.00</x:v>
      </x:c>
      <x:c r="X128" s="39" t="str">
        <x:v>这张表数据很长，我想滚动时一直看到前面的两个表头，帮我冻结一下。</x:v>
      </x:c>
      <x:c r="Y128" s="39" t="str">
        <x:v>第1条记忆（中期/工作流程）：在 Freeze_row_column.xlsx 中冻结 A1:B1 对应的表头区域，使滚动工作表时这些表头保持可见。关键约束：冻结目标为 A1:B1；不修改表头内容或其他格式。</x:v>
      </x:c>
      <x:c r="Z128" s="39" t="str">
        <x:v>不适用：当前题目不存在需要用户进一步选择的候选记忆。</x:v>
      </x:c>
      <x:c r="AA128" s="39" t="str">
        <x:v>不适用：当前题目没有指定需要排除的冲突或禁止记忆。</x:v>
      </x:c>
      <x:c r="AB128" s="39" t="str">
        <x:v>应执行以下操作：在 Freeze_row_column.xlsx 中冻结 A1:B1 对应的表头区域，使滚动工作表时这些表头保持可见。</x:v>
      </x:c>
      <x:c r="AC128" s="39" t="str">
        <x:v>第1项实际操作：在 Freeze_row_column.xlsx 中冻结 A1:B1 对应的表头区域，使滚动工作表时这些表头保持可见。执行时必须满足：冻结目标为 A1:B1；不修改表头内容或其他格式。</x:v>
      </x:c>
      <x:c r="AD128" s="39" t="str">
        <x:v>用户的完整请求是：“这张表数据很长，我想滚动时一直看到前面的两个表头，帮我冻结一下。”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x:v>
      </x:c>
      <x:c r="AE12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128" s="50" t="str">
        <x:v>not_pass</x:v>
      </x:c>
      <x:c r="AG128" s="50" t="n">
        <x:v>0</x:v>
      </x:c>
    </x:row>
    <x:row r="129" ht="165" customHeight="1">
      <x:c r="A129" s="35" t="str">
        <x:v>4188d3a4-077d-46b7-9c86-23e1a036f6c1_HQ3</x:v>
      </x:c>
      <x:c r="B129" s="36" t="str">
        <x:v>SG_TASK_4188d3a4-077d-46b7-9c86-23e1a036f6c1</x:v>
      </x:c>
      <x:c r="C129" s="36" t="str">
        <x:v>4188d3a4-077d-46b7-9c86-23e1a036f6c1</x:v>
      </x:c>
      <x:c r="D129" s="36" t="str">
        <x:v>Freeze_row_column.xlsx</x:v>
      </x:c>
      <x:c r="E129" s="36" t="str">
        <x:v>single_memory</x:v>
      </x:c>
      <x:c r="F129" s="36" t="str">
        <x:v>contextual_ellipsis</x:v>
      </x:c>
      <x:c r="G129" s="36" t="str">
        <x:v>train</x:v>
      </x:c>
      <x:c r="H129" s="36" t="str">
        <x:v>中等</x:v>
      </x:c>
      <x:c r="I129" s="36" t="str">
        <x:v>4188d3a4-077d-46b7-9c86-23e1a036f6c1</x:v>
      </x:c>
      <x:c r="J129" s="36" t="str">
        <x:v>CTX_4188d3a4-077d-46b7-9c86-23e1a036f6c1</x:v>
      </x:c>
      <x:c r="K129" s="36" t="str">
        <x:v>MTM_4188d3a4-077d-46b7-9c86-23e1a036f6c1</x:v>
      </x:c>
      <x:c r="L129" s="36" t="str"/>
      <x:c r="M129" s="36" t="str"/>
      <x:c r="N129" s="36" t="str">
        <x:v>工作流程</x:v>
      </x:c>
      <x:c r="O129" s="36" t="str">
        <x:v>中期</x:v>
      </x:c>
      <x:c r="P129" s="36" t="str">
        <x:v>["libreoffice_calc"]</x:v>
      </x:c>
      <x:c r="Q129" s="36" t="str">
        <x:v>[{"step_id":"S1","app":"libreoffice_calc","action_key":"freeze_header_range_a1_b1","input_artifacts":["Freeze_row_column.xlsx"],"output_artifacts":["Freeze_row_column.xlsx"],"depends_on":[]}]</x:v>
      </x:c>
      <x:c r="R129" s="36" t="str">
        <x:v>[]</x:v>
      </x:c>
      <x:c r="S129" s="36" t="str">
        <x:v>freeze_header_range_a1_b1</x:v>
      </x:c>
      <x:c r="T129" s="36" t="str">
        <x:v>Freeze_row_column.xlsx</x:v>
      </x:c>
      <x:c r="U129" s="36" t="str">
        <x:v>retrieve_and_execute</x:v>
      </x:c>
      <x:c r="V129" s="36" t="str">
        <x:v>[{"point_id":"P1","description":"主要处理方式与预期动作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x:v>
      </x:c>
      <x:c r="W129" s="36" t="str">
        <x:v>1.00</x:v>
      </x:c>
      <x:c r="X129" s="39" t="str">
        <x:v>当前工作表继续做视图固定，只处理顶部 A1:B1。</x:v>
      </x:c>
      <x:c r="Y129" s="39" t="str">
        <x:v>第1条记忆（中期/工作流程）：在 Freeze_row_column.xlsx 中冻结 A1:B1 对应的表头区域，使滚动工作表时这些表头保持可见。关键约束：冻结目标为 A1:B1；不修改表头内容或其他格式。</x:v>
      </x:c>
      <x:c r="Z129" s="39" t="str">
        <x:v>不适用：当前题目不存在需要用户进一步选择的候选记忆。</x:v>
      </x:c>
      <x:c r="AA129" s="39" t="str">
        <x:v>不适用：当前题目没有指定需要排除的冲突或禁止记忆。</x:v>
      </x:c>
      <x:c r="AB129" s="39" t="str">
        <x:v>应执行以下操作：在 Freeze_row_column.xlsx 中冻结 A1:B1 对应的表头区域，使滚动工作表时这些表头保持可见。</x:v>
      </x:c>
      <x:c r="AC129" s="39" t="str">
        <x:v>第1项实际操作：在 Freeze_row_column.xlsx 中冻结 A1:B1 对应的表头区域，使滚动工作表时这些表头保持可见。执行时必须满足：冻结目标为 A1:B1；不修改表头内容或其他格式。</x:v>
      </x:c>
      <x:c r="AD129" s="39" t="str">
        <x:v>用户的完整请求是：“当前工作表继续做视图固定，只处理顶部 A1:B1。”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x:v>
      </x:c>
      <x:c r="AE12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129" s="50" t="str">
        <x:v>not_pass</x:v>
      </x:c>
      <x:c r="AG129" s="50" t="n">
        <x:v>0</x:v>
      </x:c>
    </x:row>
    <x:row r="130" ht="165" customHeight="1">
      <x:c r="A130" s="35" t="str">
        <x:v>4188d3a4-077d-46b7-9c86-23e1a036f6c1_HQ4</x:v>
      </x:c>
      <x:c r="B130" s="36" t="str">
        <x:v>SG_TASK_4188d3a4-077d-46b7-9c86-23e1a036f6c1</x:v>
      </x:c>
      <x:c r="C130" s="36" t="str">
        <x:v>4188d3a4-077d-46b7-9c86-23e1a036f6c1</x:v>
      </x:c>
      <x:c r="D130" s="36" t="str">
        <x:v>Freeze_row_column.xlsx</x:v>
      </x:c>
      <x:c r="E130" s="36" t="str">
        <x:v>single_memory</x:v>
      </x:c>
      <x:c r="F130" s="36" t="str">
        <x:v>low_overlap_paraphrase</x:v>
      </x:c>
      <x:c r="G130" s="36" t="str">
        <x:v>train</x:v>
      </x:c>
      <x:c r="H130" s="36" t="str">
        <x:v>困难</x:v>
      </x:c>
      <x:c r="I130" s="36" t="str">
        <x:v>4188d3a4-077d-46b7-9c86-23e1a036f6c1</x:v>
      </x:c>
      <x:c r="J130" s="36" t="str">
        <x:v>CTX_4188d3a4-077d-46b7-9c86-23e1a036f6c1</x:v>
      </x:c>
      <x:c r="K130" s="36" t="str">
        <x:v>MTM_4188d3a4-077d-46b7-9c86-23e1a036f6c1</x:v>
      </x:c>
      <x:c r="L130" s="36" t="str"/>
      <x:c r="M130" s="36" t="str"/>
      <x:c r="N130" s="36" t="str">
        <x:v>工作流程</x:v>
      </x:c>
      <x:c r="O130" s="36" t="str">
        <x:v>中期</x:v>
      </x:c>
      <x:c r="P130" s="36" t="str">
        <x:v>["libreoffice_calc"]</x:v>
      </x:c>
      <x:c r="Q130" s="36" t="str">
        <x:v>[{"step_id":"S1","app":"libreoffice_calc","action_key":"freeze_header_range_a1_b1","input_artifacts":["Freeze_row_column.xlsx"],"output_artifacts":["Freeze_row_column.xlsx"],"depends_on":[]}]</x:v>
      </x:c>
      <x:c r="R130" s="36" t="str">
        <x:v>[]</x:v>
      </x:c>
      <x:c r="S130" s="36" t="str">
        <x:v>freeze_header_range_a1_b1</x:v>
      </x:c>
      <x:c r="T130" s="36" t="str">
        <x:v>Freeze_row_column.xlsx</x:v>
      </x:c>
      <x:c r="U130" s="36" t="str">
        <x:v>retrieve_and_execute</x:v>
      </x:c>
      <x:c r="V130" s="36" t="str">
        <x:v>[{"point_id":"P1","description":"主要处理方式与预期动作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x:v>
      </x:c>
      <x:c r="W130" s="36" t="str">
        <x:v>1.00</x:v>
      </x:c>
      <x:c r="X130" s="39" t="str">
        <x:v>浏览明细时我不想反复回顶部，请让这两个标题始终留在屏幕上。</x:v>
      </x:c>
      <x:c r="Y130" s="39" t="str">
        <x:v>第1条记忆（中期/工作流程）：在 Freeze_row_column.xlsx 中冻结 A1:B1 对应的表头区域，使滚动工作表时这些表头保持可见。关键约束：冻结目标为 A1:B1；不修改表头内容或其他格式。</x:v>
      </x:c>
      <x:c r="Z130" s="39" t="str">
        <x:v>不适用：当前题目不存在需要用户进一步选择的候选记忆。</x:v>
      </x:c>
      <x:c r="AA130" s="39" t="str">
        <x:v>不适用：当前题目没有指定需要排除的冲突或禁止记忆。</x:v>
      </x:c>
      <x:c r="AB130" s="39" t="str">
        <x:v>应执行以下操作：在 Freeze_row_column.xlsx 中冻结 A1:B1 对应的表头区域，使滚动工作表时这些表头保持可见。</x:v>
      </x:c>
      <x:c r="AC130" s="39" t="str">
        <x:v>第1项实际操作：在 Freeze_row_column.xlsx 中冻结 A1:B1 对应的表头区域，使滚动工作表时这些表头保持可见。执行时必须满足：冻结目标为 A1:B1；不修改表头内容或其他格式。</x:v>
      </x:c>
      <x:c r="AD130" s="39" t="str">
        <x:v>用户的完整请求是：“浏览明细时我不想反复回顶部，请让这两个标题始终留在屏幕上。”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x:v>
      </x:c>
      <x:c r="AE13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130" s="50" t="str">
        <x:v>not_pass</x:v>
      </x:c>
      <x:c r="AG130" s="50" t="n">
        <x:v>0</x:v>
      </x:c>
    </x:row>
    <x:row r="131" ht="165" customHeight="1">
      <x:c r="A131" s="35" t="str">
        <x:v>4188d3a4-077d-46b7-9c86-23e1a036f6c1_HQ5</x:v>
      </x:c>
      <x:c r="B131" s="36" t="str">
        <x:v>SG_TASK_4188d3a4-077d-46b7-9c86-23e1a036f6c1</x:v>
      </x:c>
      <x:c r="C131" s="36" t="str">
        <x:v>4188d3a4-077d-46b7-9c86-23e1a036f6c1</x:v>
      </x:c>
      <x:c r="D131" s="36" t="str">
        <x:v>Freeze_row_column.xlsx</x:v>
      </x:c>
      <x:c r="E131" s="36" t="str">
        <x:v>single_memory</x:v>
      </x:c>
      <x:c r="F131" s="36" t="str">
        <x:v>human_constraint_emphasis</x:v>
      </x:c>
      <x:c r="G131" s="36" t="str">
        <x:v>train</x:v>
      </x:c>
      <x:c r="H131" s="36" t="str">
        <x:v>困难</x:v>
      </x:c>
      <x:c r="I131" s="36" t="str">
        <x:v>4188d3a4-077d-46b7-9c86-23e1a036f6c1</x:v>
      </x:c>
      <x:c r="J131" s="36" t="str">
        <x:v>CTX_4188d3a4-077d-46b7-9c86-23e1a036f6c1</x:v>
      </x:c>
      <x:c r="K131" s="36" t="str">
        <x:v>MTM_4188d3a4-077d-46b7-9c86-23e1a036f6c1</x:v>
      </x:c>
      <x:c r="L131" s="36" t="str"/>
      <x:c r="M131" s="36" t="str"/>
      <x:c r="N131" s="36" t="str">
        <x:v>工作流程</x:v>
      </x:c>
      <x:c r="O131" s="36" t="str">
        <x:v>中期</x:v>
      </x:c>
      <x:c r="P131" s="36" t="str">
        <x:v>["libreoffice_calc"]</x:v>
      </x:c>
      <x:c r="Q131" s="36" t="str">
        <x:v>[{"step_id":"S1","app":"libreoffice_calc","action_key":"freeze_header_range_a1_b1","input_artifacts":["Freeze_row_column.xlsx"],"output_artifacts":["Freeze_row_column.xlsx"],"depends_on":[]}]</x:v>
      </x:c>
      <x:c r="R131" s="36" t="str">
        <x:v>[]</x:v>
      </x:c>
      <x:c r="S131" s="36" t="str">
        <x:v>freeze_header_range_a1_b1</x:v>
      </x:c>
      <x:c r="T131" s="36" t="str">
        <x:v>Freeze_row_column.xlsx</x:v>
      </x:c>
      <x:c r="U131" s="36" t="str">
        <x:v>retrieve_and_execute</x:v>
      </x:c>
      <x:c r="V131" s="36" t="str">
        <x:v>[{"point_id":"P1","description":"主要处理方式与预期动作 freeze_header_range_a1_b1 语义一致","weight":0.4,"evidence_memory_ids":["MTM_4188d3a4-077d-46b7-9c86-23e1a036f6c1"]},{"point_id":"P2","description":"正确定位目标对象 Freeze_row_column.xlsx","weight":0.2,"evidence_memory_ids":["MTM_4188d3a4-077d-46b7-9c86-23e1a036f6c1"]},{"point_id":"P3","description":"满足关键条件：冻结目标为 A1:B1；不修改表头内容或其他格式","weight":0.3,"evidence_memory_ids":["MTM_4188d3a4-077d-46b7-9c86-23e1a036f6c1"]},{"point_id":"P4","description":"不增加无记忆证据支持的操作","weight":0.1,"evidence_memory_ids":["MTM_4188d3a4-077d-46b7-9c86-23e1a036f6c1"]}]</x:v>
      </x:c>
      <x:c r="W131" s="36" t="str">
        <x:v>1.00</x:v>
      </x:c>
      <x:c r="X131" s="39" t="str">
        <x:v>冻结 A1:B1 就行，别改表头文字，也别调整其他区域。</x:v>
      </x:c>
      <x:c r="Y131" s="39" t="str">
        <x:v>第1条记忆（中期/工作流程）：在 Freeze_row_column.xlsx 中冻结 A1:B1 对应的表头区域，使滚动工作表时这些表头保持可见。关键约束：冻结目标为 A1:B1；不修改表头内容或其他格式。</x:v>
      </x:c>
      <x:c r="Z131" s="39" t="str">
        <x:v>不适用：当前题目不存在需要用户进一步选择的候选记忆。</x:v>
      </x:c>
      <x:c r="AA131" s="39" t="str">
        <x:v>不适用：当前题目没有指定需要排除的冲突或禁止记忆。</x:v>
      </x:c>
      <x:c r="AB131" s="39" t="str">
        <x:v>应执行以下操作：在 Freeze_row_column.xlsx 中冻结 A1:B1 对应的表头区域，使滚动工作表时这些表头保持可见。</x:v>
      </x:c>
      <x:c r="AC131" s="39" t="str">
        <x:v>第1项实际操作：在 Freeze_row_column.xlsx 中冻结 A1:B1 对应的表头区域，使滚动工作表时这些表头保持可见。执行时必须满足：冻结目标为 A1:B1；不修改表头内容或其他格式。</x:v>
      </x:c>
      <x:c r="AD131" s="39" t="str">
        <x:v>用户的完整请求是：“冻结 A1:B1 就行，别改表头文字，也别调整其他区域。” 第1个当前上下文：Freeze_row_column.xlsx 已在 LibreOffice Calc 中打开。 当前请求是在已有办公上下文中继续、复用或重新强调既有处理方式。与该请求唯一对应的完整必需记忆如下：
第1条记忆（中期/工作流程）：在 Freeze_row_column.xlsx 中冻结 A1:B1 对应的表头区域，使滚动工作表时这些表头保持可见。关键约束：冻结目标为 A1:B1；不修改表头内容或其他格式。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Freeze_row_column.xlsx 中冻结 A1:B1 对应的表头区域，使滚动工作表时这些表头保持可见。”</x:v>
      </x:c>
      <x:c r="AE13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Freeze_row_column.xlsx 中冻结 A1:B1 对应的表头区域，使滚动工作表时这些表头保持可见。关键约束：冻结目标为 A1:B1；不修改表头内容或其他格式。
第2个得分点（0.20分）：正确定位目标对象 Freeze_row_column.xlsx。该得分点所依据的完整证据为：
第1条记忆（中期/工作流程）：在 Freeze_row_column.xlsx 中冻结 A1:B1 对应的表头区域，使滚动工作表时这些表头保持可见。关键约束：冻结目标为 A1:B1；不修改表头内容或其他格式。
第3个得分点（0.30分）：满足关键条件：冻结目标为 A1:B1；不修改表头内容或其他格式。该得分点所依据的完整证据为：
第1条记忆（中期/工作流程）：在 Freeze_row_column.xlsx 中冻结 A1:B1 对应的表头区域，使滚动工作表时这些表头保持可见。关键约束：冻结目标为 A1:B1；不修改表头内容或其他格式。
第4个得分点（0.10分）：不增加无记忆证据支持的操作。该得分点所依据的完整证据为：
第1条记忆（中期/工作流程）：在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131" s="50" t="str">
        <x:v>not_pass</x:v>
      </x:c>
      <x:c r="AG131" s="50" t="n">
        <x:v>0</x:v>
      </x:c>
    </x:row>
    <x:row r="132" ht="216" customHeight="1">
      <x:c r="A132" s="35" t="str">
        <x:v>42e0a640-4f19-4b28-973d-729602b5a4a7_HQ1</x:v>
      </x:c>
      <x:c r="B132" s="36" t="str">
        <x:v>SG_TASK_42e0a640-4f19-4b28-973d-729602b5a4a7</x:v>
      </x:c>
      <x:c r="C132" s="36" t="str">
        <x:v>42e0a640-4f19-4b28-973d-729602b5a4a7</x:v>
      </x:c>
      <x:c r="D132" s="36" t="str">
        <x:v>NetIncome.xlsx</x:v>
      </x:c>
      <x:c r="E132" s="36" t="str">
        <x:v>single_memory</x:v>
      </x:c>
      <x:c r="F132" s="36" t="str">
        <x:v>human_context_explicit</x:v>
      </x:c>
      <x:c r="G132" s="36" t="str">
        <x:v>train</x:v>
      </x:c>
      <x:c r="H132" s="36" t="str">
        <x:v>简单</x:v>
      </x:c>
      <x:c r="I132" s="36" t="str">
        <x:v>42e0a640-4f19-4b28-973d-729602b5a4a7</x:v>
      </x:c>
      <x:c r="J132" s="36" t="str">
        <x:v>CTX_42e0a640-4f19-4b28-973d-729602b5a4a7</x:v>
      </x:c>
      <x:c r="K132" s="36" t="str">
        <x:v>LTM_42e0a640-4f19-4b28-973d-729602b5a4a7</x:v>
      </x:c>
      <x:c r="L132" s="36" t="str"/>
      <x:c r="M132" s="36" t="str">
        <x:v>LTM_1273e544-688f-496b-8d89-3e0f40aa0606</x:v>
      </x:c>
      <x:c r="N132" s="36" t="str">
        <x:v>知识</x:v>
      </x:c>
      <x:c r="O132" s="36" t="str">
        <x:v>长期</x:v>
      </x:c>
      <x:c r="P132" s="36" t="str">
        <x:v>["libreoffice_calc"]</x:v>
      </x:c>
      <x:c r="Q132" s="36" t="str">
        <x:v>[{"step_id":"S1","app":"libreoffice_calc","action_key":"summarize_revenue_and_expenses","input_artifacts":["NetIncome.xlsx"],"output_artifacts":["NetIncome.xlsx"],"depends_on":[]}]</x:v>
      </x:c>
      <x:c r="R132" s="36" t="str">
        <x:v>[]</x:v>
      </x:c>
      <x:c r="S132" s="36" t="str">
        <x:v>summarize_revenue_and_expenses</x:v>
      </x:c>
      <x:c r="T132" s="36" t="str">
        <x:v>NetIncome.xlsx</x:v>
      </x:c>
      <x:c r="U132" s="36" t="str">
        <x:v>retrieve_and_execute</x:v>
      </x:c>
      <x:c r="V132" s="36" t="str">
        <x:v>[{"point_id":"P1","description":"主要处理方式与预期动作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x:v>
      </x:c>
      <x:c r="W132" s="36" t="str">
        <x:v>1.00</x:v>
      </x:c>
      <x:c r="X132" s="39" t="str">
        <x:v>NetIncome.xlsx 这次要的是收入和费用总额，按之前的两列汇总方式放到 Sheet2。</x:v>
      </x:c>
      <x:c r="Y132"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Z132" s="39" t="str">
        <x:v>不适用：当前题目不存在需要用户进一步选择的候选记忆。</x:v>
      </x:c>
      <x:c r="AA132" s="39" t="str">
        <x:v>第1条记忆（长期/工作流程）：把 NetIncome.xlsx 中 Revenue 列连同表头完整复制到新建的 Sheet2。关键约束：必须包含 Revenue 表头；目标为新建 Sheet2；不进行求和或复制其他列。</x:v>
      </x:c>
      <x:c r="AB132" s="39" t="str">
        <x:v>应执行以下操作：在 NetIncome.xlsx 新建 Sheet2，分别计算 Revenue 列和 Total Expenses 列的总和，并放在 Total Revenue 与 Total Expenses 两列下。</x:v>
      </x:c>
      <x:c r="AC132" s="39" t="str">
        <x:v>第1项实际操作：在 NetIncome.xlsx 新建 Sheet2，分别计算 Revenue 列和 Total Expenses 列的总和，并放在 Total Revenue 与 Total Expenses 两列下。执行时必须满足：目标为 Sheet2；分别汇总收入和总费用；列名使用 Total Revenue 和 Total Expenses。</x:v>
      </x:c>
      <x:c r="AD132" s="39" t="str">
        <x:v>用户的完整请求是：“NetIncome.xlsx 这次要的是收入和费用总额，按之前的两列汇总方式放到 Sheet2。”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x:v>
      </x:c>
      <x:c r="AE13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132" s="50" t="str">
        <x:v>not_pass</x:v>
      </x:c>
      <x:c r="AG132" s="50" t="n">
        <x:v>0</x:v>
      </x:c>
    </x:row>
    <x:row r="133" ht="216" customHeight="1">
      <x:c r="A133" s="35" t="str">
        <x:v>42e0a640-4f19-4b28-973d-729602b5a4a7_HQ2</x:v>
      </x:c>
      <x:c r="B133" s="36" t="str">
        <x:v>SG_TASK_42e0a640-4f19-4b28-973d-729602b5a4a7</x:v>
      </x:c>
      <x:c r="C133" s="36" t="str">
        <x:v>42e0a640-4f19-4b28-973d-729602b5a4a7</x:v>
      </x:c>
      <x:c r="D133" s="36" t="str">
        <x:v>NetIncome.xlsx</x:v>
      </x:c>
      <x:c r="E133" s="36" t="str">
        <x:v>single_memory</x:v>
      </x:c>
      <x:c r="F133" s="36" t="str">
        <x:v>human_goal_oriented</x:v>
      </x:c>
      <x:c r="G133" s="36" t="str">
        <x:v>train</x:v>
      </x:c>
      <x:c r="H133" s="36" t="str">
        <x:v>中等</x:v>
      </x:c>
      <x:c r="I133" s="36" t="str">
        <x:v>42e0a640-4f19-4b28-973d-729602b5a4a7</x:v>
      </x:c>
      <x:c r="J133" s="36" t="str">
        <x:v>CTX_42e0a640-4f19-4b28-973d-729602b5a4a7</x:v>
      </x:c>
      <x:c r="K133" s="36" t="str">
        <x:v>LTM_42e0a640-4f19-4b28-973d-729602b5a4a7</x:v>
      </x:c>
      <x:c r="L133" s="36" t="str"/>
      <x:c r="M133" s="36" t="str">
        <x:v>LTM_1273e544-688f-496b-8d89-3e0f40aa0606</x:v>
      </x:c>
      <x:c r="N133" s="36" t="str">
        <x:v>知识</x:v>
      </x:c>
      <x:c r="O133" s="36" t="str">
        <x:v>长期</x:v>
      </x:c>
      <x:c r="P133" s="36" t="str">
        <x:v>["libreoffice_calc"]</x:v>
      </x:c>
      <x:c r="Q133" s="36" t="str">
        <x:v>[{"step_id":"S1","app":"libreoffice_calc","action_key":"summarize_revenue_and_expenses","input_artifacts":["NetIncome.xlsx"],"output_artifacts":["NetIncome.xlsx"],"depends_on":[]}]</x:v>
      </x:c>
      <x:c r="R133" s="36" t="str">
        <x:v>[]</x:v>
      </x:c>
      <x:c r="S133" s="36" t="str">
        <x:v>summarize_revenue_and_expenses</x:v>
      </x:c>
      <x:c r="T133" s="36" t="str">
        <x:v>NetIncome.xlsx</x:v>
      </x:c>
      <x:c r="U133" s="36" t="str">
        <x:v>retrieve_and_execute</x:v>
      </x:c>
      <x:c r="V133" s="36" t="str">
        <x:v>[{"point_id":"P1","description":"主要处理方式与预期动作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x:v>
      </x:c>
      <x:c r="W133" s="36" t="str">
        <x:v>1.00</x:v>
      </x:c>
      <x:c r="X133" s="39" t="str">
        <x:v>我想在第二张表快速看到总收入和总支出，麻烦把 Revenue 和 Total Expenses 分别加总。</x:v>
      </x:c>
      <x:c r="Y133"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Z133" s="39" t="str">
        <x:v>不适用：当前题目不存在需要用户进一步选择的候选记忆。</x:v>
      </x:c>
      <x:c r="AA133" s="39" t="str">
        <x:v>第1条记忆（长期/工作流程）：把 NetIncome.xlsx 中 Revenue 列连同表头完整复制到新建的 Sheet2。关键约束：必须包含 Revenue 表头；目标为新建 Sheet2；不进行求和或复制其他列。</x:v>
      </x:c>
      <x:c r="AB133" s="39" t="str">
        <x:v>应执行以下操作：在 NetIncome.xlsx 新建 Sheet2，分别计算 Revenue 列和 Total Expenses 列的总和，并放在 Total Revenue 与 Total Expenses 两列下。</x:v>
      </x:c>
      <x:c r="AC133" s="39" t="str">
        <x:v>第1项实际操作：在 NetIncome.xlsx 新建 Sheet2，分别计算 Revenue 列和 Total Expenses 列的总和，并放在 Total Revenue 与 Total Expenses 两列下。执行时必须满足：目标为 Sheet2；分别汇总收入和总费用；列名使用 Total Revenue 和 Total Expenses。</x:v>
      </x:c>
      <x:c r="AD133" s="39" t="str">
        <x:v>用户的完整请求是：“我想在第二张表快速看到总收入和总支出，麻烦把 Revenue 和 Total Expenses 分别加总。”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x:v>
      </x:c>
      <x:c r="AE13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133" s="50" t="str">
        <x:v>not_pass</x:v>
      </x:c>
      <x:c r="AG133" s="50" t="n">
        <x:v>0</x:v>
      </x:c>
    </x:row>
    <x:row r="134" ht="216" customHeight="1">
      <x:c r="A134" s="35" t="str">
        <x:v>42e0a640-4f19-4b28-973d-729602b5a4a7_HQ3</x:v>
      </x:c>
      <x:c r="B134" s="36" t="str">
        <x:v>SG_TASK_42e0a640-4f19-4b28-973d-729602b5a4a7</x:v>
      </x:c>
      <x:c r="C134" s="36" t="str">
        <x:v>42e0a640-4f19-4b28-973d-729602b5a4a7</x:v>
      </x:c>
      <x:c r="D134" s="36" t="str">
        <x:v>NetIncome.xlsx</x:v>
      </x:c>
      <x:c r="E134" s="36" t="str">
        <x:v>single_memory</x:v>
      </x:c>
      <x:c r="F134" s="36" t="str">
        <x:v>contextual_ellipsis</x:v>
      </x:c>
      <x:c r="G134" s="36" t="str">
        <x:v>train</x:v>
      </x:c>
      <x:c r="H134" s="36" t="str">
        <x:v>中等</x:v>
      </x:c>
      <x:c r="I134" s="36" t="str">
        <x:v>42e0a640-4f19-4b28-973d-729602b5a4a7</x:v>
      </x:c>
      <x:c r="J134" s="36" t="str">
        <x:v>CTX_42e0a640-4f19-4b28-973d-729602b5a4a7</x:v>
      </x:c>
      <x:c r="K134" s="36" t="str">
        <x:v>LTM_42e0a640-4f19-4b28-973d-729602b5a4a7</x:v>
      </x:c>
      <x:c r="L134" s="36" t="str"/>
      <x:c r="M134" s="36" t="str">
        <x:v>LTM_1273e544-688f-496b-8d89-3e0f40aa0606</x:v>
      </x:c>
      <x:c r="N134" s="36" t="str">
        <x:v>知识</x:v>
      </x:c>
      <x:c r="O134" s="36" t="str">
        <x:v>长期</x:v>
      </x:c>
      <x:c r="P134" s="36" t="str">
        <x:v>["libreoffice_calc"]</x:v>
      </x:c>
      <x:c r="Q134" s="36" t="str">
        <x:v>[{"step_id":"S1","app":"libreoffice_calc","action_key":"summarize_revenue_and_expenses","input_artifacts":["NetIncome.xlsx"],"output_artifacts":["NetIncome.xlsx"],"depends_on":[]}]</x:v>
      </x:c>
      <x:c r="R134" s="36" t="str">
        <x:v>[]</x:v>
      </x:c>
      <x:c r="S134" s="36" t="str">
        <x:v>summarize_revenue_and_expenses</x:v>
      </x:c>
      <x:c r="T134" s="36" t="str">
        <x:v>NetIncome.xlsx</x:v>
      </x:c>
      <x:c r="U134" s="36" t="str">
        <x:v>retrieve_and_execute</x:v>
      </x:c>
      <x:c r="V134" s="36" t="str">
        <x:v>[{"point_id":"P1","description":"主要处理方式与预期动作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x:v>
      </x:c>
      <x:c r="W134" s="36" t="str">
        <x:v>1.00</x:v>
      </x:c>
      <x:c r="X134" s="39" t="str">
        <x:v>当前净收益表继续做汇总，不是复制明细列。</x:v>
      </x:c>
      <x:c r="Y134"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Z134" s="39" t="str">
        <x:v>不适用：当前题目不存在需要用户进一步选择的候选记忆。</x:v>
      </x:c>
      <x:c r="AA134" s="39" t="str">
        <x:v>第1条记忆（长期/工作流程）：把 NetIncome.xlsx 中 Revenue 列连同表头完整复制到新建的 Sheet2。关键约束：必须包含 Revenue 表头；目标为新建 Sheet2；不进行求和或复制其他列。</x:v>
      </x:c>
      <x:c r="AB134" s="39" t="str">
        <x:v>应执行以下操作：在 NetIncome.xlsx 新建 Sheet2，分别计算 Revenue 列和 Total Expenses 列的总和，并放在 Total Revenue 与 Total Expenses 两列下。</x:v>
      </x:c>
      <x:c r="AC134" s="39" t="str">
        <x:v>第1项实际操作：在 NetIncome.xlsx 新建 Sheet2，分别计算 Revenue 列和 Total Expenses 列的总和，并放在 Total Revenue 与 Total Expenses 两列下。执行时必须满足：目标为 Sheet2；分别汇总收入和总费用；列名使用 Total Revenue 和 Total Expenses。</x:v>
      </x:c>
      <x:c r="AD134" s="39" t="str">
        <x:v>用户的完整请求是：“当前净收益表继续做汇总，不是复制明细列。”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x:v>
      </x:c>
      <x:c r="AE13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134" s="50" t="str">
        <x:v>not_pass</x:v>
      </x:c>
      <x:c r="AG134" s="50" t="n">
        <x:v>0</x:v>
      </x:c>
    </x:row>
    <x:row r="135" ht="216" customHeight="1">
      <x:c r="A135" s="35" t="str">
        <x:v>42e0a640-4f19-4b28-973d-729602b5a4a7_HQ4</x:v>
      </x:c>
      <x:c r="B135" s="36" t="str">
        <x:v>SG_TASK_42e0a640-4f19-4b28-973d-729602b5a4a7</x:v>
      </x:c>
      <x:c r="C135" s="36" t="str">
        <x:v>42e0a640-4f19-4b28-973d-729602b5a4a7</x:v>
      </x:c>
      <x:c r="D135" s="36" t="str">
        <x:v>NetIncome.xlsx</x:v>
      </x:c>
      <x:c r="E135" s="36" t="str">
        <x:v>single_memory</x:v>
      </x:c>
      <x:c r="F135" s="36" t="str">
        <x:v>low_overlap_paraphrase</x:v>
      </x:c>
      <x:c r="G135" s="36" t="str">
        <x:v>train</x:v>
      </x:c>
      <x:c r="H135" s="36" t="str">
        <x:v>困难</x:v>
      </x:c>
      <x:c r="I135" s="36" t="str">
        <x:v>42e0a640-4f19-4b28-973d-729602b5a4a7</x:v>
      </x:c>
      <x:c r="J135" s="36" t="str">
        <x:v>CTX_42e0a640-4f19-4b28-973d-729602b5a4a7</x:v>
      </x:c>
      <x:c r="K135" s="36" t="str">
        <x:v>LTM_42e0a640-4f19-4b28-973d-729602b5a4a7</x:v>
      </x:c>
      <x:c r="L135" s="36" t="str"/>
      <x:c r="M135" s="36" t="str">
        <x:v>LTM_1273e544-688f-496b-8d89-3e0f40aa0606</x:v>
      </x:c>
      <x:c r="N135" s="36" t="str">
        <x:v>知识</x:v>
      </x:c>
      <x:c r="O135" s="36" t="str">
        <x:v>长期</x:v>
      </x:c>
      <x:c r="P135" s="36" t="str">
        <x:v>["libreoffice_calc"]</x:v>
      </x:c>
      <x:c r="Q135" s="36" t="str">
        <x:v>[{"step_id":"S1","app":"libreoffice_calc","action_key":"summarize_revenue_and_expenses","input_artifacts":["NetIncome.xlsx"],"output_artifacts":["NetIncome.xlsx"],"depends_on":[]}]</x:v>
      </x:c>
      <x:c r="R135" s="36" t="str">
        <x:v>[]</x:v>
      </x:c>
      <x:c r="S135" s="36" t="str">
        <x:v>summarize_revenue_and_expenses</x:v>
      </x:c>
      <x:c r="T135" s="36" t="str">
        <x:v>NetIncome.xlsx</x:v>
      </x:c>
      <x:c r="U135" s="36" t="str">
        <x:v>retrieve_and_execute</x:v>
      </x:c>
      <x:c r="V135" s="36" t="str">
        <x:v>[{"point_id":"P1","description":"主要处理方式与预期动作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x:v>
      </x:c>
      <x:c r="W135" s="36" t="str">
        <x:v>1.00</x:v>
      </x:c>
      <x:c r="X135" s="39" t="str">
        <x:v>为了做总览，只保留两项合计：进来的钱和全部费用，各占一列。</x:v>
      </x:c>
      <x:c r="Y135"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Z135" s="39" t="str">
        <x:v>不适用：当前题目不存在需要用户进一步选择的候选记忆。</x:v>
      </x:c>
      <x:c r="AA135" s="39" t="str">
        <x:v>第1条记忆（长期/工作流程）：把 NetIncome.xlsx 中 Revenue 列连同表头完整复制到新建的 Sheet2。关键约束：必须包含 Revenue 表头；目标为新建 Sheet2；不进行求和或复制其他列。</x:v>
      </x:c>
      <x:c r="AB135" s="39" t="str">
        <x:v>应执行以下操作：在 NetIncome.xlsx 新建 Sheet2，分别计算 Revenue 列和 Total Expenses 列的总和，并放在 Total Revenue 与 Total Expenses 两列下。</x:v>
      </x:c>
      <x:c r="AC135" s="39" t="str">
        <x:v>第1项实际操作：在 NetIncome.xlsx 新建 Sheet2，分别计算 Revenue 列和 Total Expenses 列的总和，并放在 Total Revenue 与 Total Expenses 两列下。执行时必须满足：目标为 Sheet2；分别汇总收入和总费用；列名使用 Total Revenue 和 Total Expenses。</x:v>
      </x:c>
      <x:c r="AD135" s="39" t="str">
        <x:v>用户的完整请求是：“为了做总览，只保留两项合计：进来的钱和全部费用，各占一列。”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x:v>
      </x:c>
      <x:c r="AE13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135" s="50" t="str">
        <x:v>not_pass</x:v>
      </x:c>
      <x:c r="AG135" s="50" t="n">
        <x:v>0</x:v>
      </x:c>
    </x:row>
    <x:row r="136" ht="216" customHeight="1">
      <x:c r="A136" s="35" t="str">
        <x:v>42e0a640-4f19-4b28-973d-729602b5a4a7_HQ5</x:v>
      </x:c>
      <x:c r="B136" s="36" t="str">
        <x:v>SG_TASK_42e0a640-4f19-4b28-973d-729602b5a4a7</x:v>
      </x:c>
      <x:c r="C136" s="36" t="str">
        <x:v>42e0a640-4f19-4b28-973d-729602b5a4a7</x:v>
      </x:c>
      <x:c r="D136" s="36" t="str">
        <x:v>NetIncome.xlsx</x:v>
      </x:c>
      <x:c r="E136" s="36" t="str">
        <x:v>single_memory</x:v>
      </x:c>
      <x:c r="F136" s="36" t="str">
        <x:v>human_constraint_emphasis</x:v>
      </x:c>
      <x:c r="G136" s="36" t="str">
        <x:v>train</x:v>
      </x:c>
      <x:c r="H136" s="36" t="str">
        <x:v>困难</x:v>
      </x:c>
      <x:c r="I136" s="36" t="str">
        <x:v>42e0a640-4f19-4b28-973d-729602b5a4a7</x:v>
      </x:c>
      <x:c r="J136" s="36" t="str">
        <x:v>CTX_42e0a640-4f19-4b28-973d-729602b5a4a7</x:v>
      </x:c>
      <x:c r="K136" s="36" t="str">
        <x:v>LTM_42e0a640-4f19-4b28-973d-729602b5a4a7</x:v>
      </x:c>
      <x:c r="L136" s="36" t="str"/>
      <x:c r="M136" s="36" t="str">
        <x:v>LTM_1273e544-688f-496b-8d89-3e0f40aa0606</x:v>
      </x:c>
      <x:c r="N136" s="36" t="str">
        <x:v>知识</x:v>
      </x:c>
      <x:c r="O136" s="36" t="str">
        <x:v>长期</x:v>
      </x:c>
      <x:c r="P136" s="36" t="str">
        <x:v>["libreoffice_calc"]</x:v>
      </x:c>
      <x:c r="Q136" s="36" t="str">
        <x:v>[{"step_id":"S1","app":"libreoffice_calc","action_key":"summarize_revenue_and_expenses","input_artifacts":["NetIncome.xlsx"],"output_artifacts":["NetIncome.xlsx"],"depends_on":[]}]</x:v>
      </x:c>
      <x:c r="R136" s="36" t="str">
        <x:v>[]</x:v>
      </x:c>
      <x:c r="S136" s="36" t="str">
        <x:v>summarize_revenue_and_expenses</x:v>
      </x:c>
      <x:c r="T136" s="36" t="str">
        <x:v>NetIncome.xlsx</x:v>
      </x:c>
      <x:c r="U136" s="36" t="str">
        <x:v>retrieve_and_execute</x:v>
      </x:c>
      <x:c r="V136" s="36" t="str">
        <x:v>[{"point_id":"P1","description":"主要处理方式与预期动作 summarize_revenue_and_expenses 语义一致","weight":0.4,"evidence_memory_ids":["LTM_42e0a640-4f19-4b28-973d-729602b5a4a7"]},{"point_id":"P2","description":"正确定位目标对象 NetIncome.xlsx","weight":0.2,"evidence_memory_ids":["LTM_42e0a640-4f19-4b28-973d-729602b5a4a7"]},{"point_id":"P3","description":"满足关键条件：目标为 Sheet2；分别汇总收入和总费用；列名使用 Total Revenue 和 Total Expenses","weight":0.3,"evidence_memory_ids":["LTM_42e0a640-4f19-4b28-973d-729602b5a4a7"]},{"point_id":"P4","description":"不采用禁止记忆中的冲突方案","weight":0.1,"evidence_memory_ids":["LTM_42e0a640-4f19-4b28-973d-729602b5a4a7","LTM_1273e544-688f-496b-8d89-3e0f40aa0606"]}]</x:v>
      </x:c>
      <x:c r="W136" s="36" t="str">
        <x:v>1.00</x:v>
      </x:c>
      <x:c r="X136" s="39" t="str">
        <x:v>Sheet2 用 Total Revenue、Total Expenses 两列放总和，别用只复制 Revenue 的那套。</x:v>
      </x:c>
      <x:c r="Y136"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Z136" s="39" t="str">
        <x:v>不适用：当前题目不存在需要用户进一步选择的候选记忆。</x:v>
      </x:c>
      <x:c r="AA136" s="39" t="str">
        <x:v>第1条记忆（长期/工作流程）：把 NetIncome.xlsx 中 Revenue 列连同表头完整复制到新建的 Sheet2。关键约束：必须包含 Revenue 表头；目标为新建 Sheet2；不进行求和或复制其他列。</x:v>
      </x:c>
      <x:c r="AB136" s="39" t="str">
        <x:v>应执行以下操作：在 NetIncome.xlsx 新建 Sheet2，分别计算 Revenue 列和 Total Expenses 列的总和，并放在 Total Revenue 与 Total Expenses 两列下。</x:v>
      </x:c>
      <x:c r="AC136" s="39" t="str">
        <x:v>第1项实际操作：在 NetIncome.xlsx 新建 Sheet2，分别计算 Revenue 列和 Total Expenses 列的总和，并放在 Total Revenue 与 Total Expenses 两列下。执行时必须满足：目标为 Sheet2；分别汇总收入和总费用；列名使用 Total Revenue 和 Total Expenses。</x:v>
      </x:c>
      <x:c r="AD136" s="39" t="str">
        <x:v>用户的完整请求是：“Sheet2 用 Total Revenue、Total Expenses 两列放总和，别用只复制 Revenue 的那套。” 第1个当前上下文：NetIncome.xlsx 已在 LibreOffice Calc 中打开。 当前请求是在已有办公上下文中继续、复用或重新强调既有处理方式。与该请求唯一对应的完整必需记忆如下：
第1条记忆（长期/知识）：在 NetIncome.xlsx 新建 Sheet2，分别计算 Revenue 列和 Total Expenses 列的总和，并放在 Total Revenue 与 Total Expenses 两列下。关键约束：目标为 Sheet2；分别汇总收入和总费用；列名使用 Total Revenue 和 Total Expenses。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NetIncome.xlsx 新建 Sheet2，分别计算 Revenue 列和 Total Expenses 列的总和，并放在 Total Revenue 与 Total Expenses 两列下。”</x:v>
      </x:c>
      <x:c r="AE13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第2个得分点（0.20分）：正确定位目标对象 NetIncome.xlsx。该得分点所依据的完整证据为：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第3个得分点（0.30分）：满足关键条件：目标为 Sheet2；分别汇总收入和总费用；列名使用 Total Revenue 和 Total Expenses。该得分点所依据的完整证据为：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第4个得分点（0.10分）：不采用禁止记忆中的冲突方案。该得分点所依据的完整证据为：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136" s="50" t="str">
        <x:v>not_pass</x:v>
      </x:c>
      <x:c r="AG136" s="50" t="n">
        <x:v>0</x:v>
      </x:c>
    </x:row>
    <x:row r="137" ht="202.5" customHeight="1">
      <x:c r="A137" s="35" t="str">
        <x:v>4de54231-e4b5-49e3-b2ba-61a0bec721c0_HQ1</x:v>
      </x:c>
      <x:c r="B137" s="36" t="str">
        <x:v>SG_TASK_4de54231-e4b5-49e3-b2ba-61a0bec721c0</x:v>
      </x:c>
      <x:c r="C137" s="36" t="str">
        <x:v>4de54231-e4b5-49e3-b2ba-61a0bec721c0</x:v>
      </x:c>
      <x:c r="D137" s="36" t="str">
        <x:v>RampUpAndDown.xlsx</x:v>
      </x:c>
      <x:c r="E137" s="36" t="str">
        <x:v>single_memory</x:v>
      </x:c>
      <x:c r="F137" s="36" t="str">
        <x:v>human_context_explicit</x:v>
      </x:c>
      <x:c r="G137" s="36" t="str">
        <x:v>train</x:v>
      </x:c>
      <x:c r="H137" s="36" t="str">
        <x:v>简单</x:v>
      </x:c>
      <x:c r="I137" s="36" t="str">
        <x:v>4de54231-e4b5-49e3-b2ba-61a0bec721c0</x:v>
      </x:c>
      <x:c r="J137" s="36" t="str">
        <x:v>CTX_4de54231-e4b5-49e3-b2ba-61a0bec721c0</x:v>
      </x:c>
      <x:c r="K137" s="36" t="str">
        <x:v>STM_4de54231-e4b5-49e3-b2ba-61a0bec721c0</x:v>
      </x:c>
      <x:c r="L137" s="36" t="str"/>
      <x:c r="M137" s="36" t="str"/>
      <x:c r="N137" s="36" t="str">
        <x:v>工作流程</x:v>
      </x:c>
      <x:c r="O137" s="36" t="str">
        <x:v>短期</x:v>
      </x:c>
      <x:c r="P137" s="36" t="str">
        <x:v>["libreoffice_calc"]</x:v>
      </x:c>
      <x:c r="Q137" s="36" t="str">
        <x:v>[{"step_id":"S1","app":"libreoffice_calc","action_key":"fill_acceleration_and_build_combined_data","input_artifacts":["RampUpAndDown.xlsx"],"output_artifacts":["RampUpAndDown.xlsx"],"depends_on":[]}]</x:v>
      </x:c>
      <x:c r="R137" s="36" t="str">
        <x:v>[]</x:v>
      </x:c>
      <x:c r="S137" s="36" t="str">
        <x:v>fill_acceleration_and_build_combined_data</x:v>
      </x:c>
      <x:c r="T137" s="36" t="str">
        <x:v>RampUpAndDown.xlsx</x:v>
      </x:c>
      <x:c r="U137" s="36" t="str">
        <x:v>retrieve_and_execute</x:v>
      </x:c>
      <x:c r="V137" s="36" t="str">
        <x:v>[{"point_id":"P1","description":"主要处理方式与预期动作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x:v>
      </x:c>
      <x:c r="W137" s="36" t="str">
        <x:v>1.00</x:v>
      </x:c>
      <x:c r="X137" s="39" t="str">
        <x:v>RampUpAndDown.xlsx 按之前流程把 B、D 两列的加速度补下去，再生成两位小数的 Combined Data。</x:v>
      </x:c>
      <x:c r="Y137" s="39" t="str">
        <x:v>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137" s="39" t="str">
        <x:v>不适用：当前题目不存在需要用户进一步选择的候选记忆。</x:v>
      </x:c>
      <x:c r="AA137" s="39" t="str">
        <x:v>不适用：当前题目没有指定需要排除的冲突或禁止记忆。</x:v>
      </x:c>
      <x:c r="AB137" s="39" t="str">
        <x:v>应执行以下操作：在 RampUpAndDown.xlsx 中根据第 2 行已有加速度公式填充 B、D 两列其余行；再把 A 到 D 列连同表头按“Header: cell value”格式拼接到新建 Combined Data 列，并将其中数值保留两位小数。</x:v>
      </x:c>
      <x:c r="AC137" s="39" t="str">
        <x:v>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137" s="39" t="str">
        <x:v>用户的完整请求是：“RampUpAndDown.xlsx 按之前流程把 B、D 两列的加速度补下去，再生成两位小数的 Combined Data。”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x:v>
      </x:c>
      <x:c r="AE13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137" s="50" t="str">
        <x:v>not_pass</x:v>
      </x:c>
      <x:c r="AG137" s="50" t="n">
        <x:v>0</x:v>
      </x:c>
    </x:row>
    <x:row r="138" ht="202.5" customHeight="1">
      <x:c r="A138" s="35" t="str">
        <x:v>4de54231-e4b5-49e3-b2ba-61a0bec721c0_HQ2</x:v>
      </x:c>
      <x:c r="B138" s="36" t="str">
        <x:v>SG_TASK_4de54231-e4b5-49e3-b2ba-61a0bec721c0</x:v>
      </x:c>
      <x:c r="C138" s="36" t="str">
        <x:v>4de54231-e4b5-49e3-b2ba-61a0bec721c0</x:v>
      </x:c>
      <x:c r="D138" s="36" t="str">
        <x:v>RampUpAndDown.xlsx</x:v>
      </x:c>
      <x:c r="E138" s="36" t="str">
        <x:v>single_memory</x:v>
      </x:c>
      <x:c r="F138" s="36" t="str">
        <x:v>human_goal_oriented</x:v>
      </x:c>
      <x:c r="G138" s="36" t="str">
        <x:v>train</x:v>
      </x:c>
      <x:c r="H138" s="36" t="str">
        <x:v>中等</x:v>
      </x:c>
      <x:c r="I138" s="36" t="str">
        <x:v>4de54231-e4b5-49e3-b2ba-61a0bec721c0</x:v>
      </x:c>
      <x:c r="J138" s="36" t="str">
        <x:v>CTX_4de54231-e4b5-49e3-b2ba-61a0bec721c0</x:v>
      </x:c>
      <x:c r="K138" s="36" t="str">
        <x:v>STM_4de54231-e4b5-49e3-b2ba-61a0bec721c0</x:v>
      </x:c>
      <x:c r="L138" s="36" t="str"/>
      <x:c r="M138" s="36" t="str"/>
      <x:c r="N138" s="36" t="str">
        <x:v>工作流程</x:v>
      </x:c>
      <x:c r="O138" s="36" t="str">
        <x:v>短期</x:v>
      </x:c>
      <x:c r="P138" s="36" t="str">
        <x:v>["libreoffice_calc"]</x:v>
      </x:c>
      <x:c r="Q138" s="36" t="str">
        <x:v>[{"step_id":"S1","app":"libreoffice_calc","action_key":"fill_acceleration_and_build_combined_data","input_artifacts":["RampUpAndDown.xlsx"],"output_artifacts":["RampUpAndDown.xlsx"],"depends_on":[]}]</x:v>
      </x:c>
      <x:c r="R138" s="36" t="str">
        <x:v>[]</x:v>
      </x:c>
      <x:c r="S138" s="36" t="str">
        <x:v>fill_acceleration_and_build_combined_data</x:v>
      </x:c>
      <x:c r="T138" s="36" t="str">
        <x:v>RampUpAndDown.xlsx</x:v>
      </x:c>
      <x:c r="U138" s="36" t="str">
        <x:v>retrieve_and_execute</x:v>
      </x:c>
      <x:c r="V138" s="36" t="str">
        <x:v>[{"point_id":"P1","description":"主要处理方式与预期动作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x:v>
      </x:c>
      <x:c r="W138" s="36" t="str">
        <x:v>1.00</x:v>
      </x:c>
      <x:c r="X138" s="39" t="str">
        <x:v>这份升降数据还缺后续行，先沿用第2行公式填满，然后把A到D每项按“表头: 值”合成一列。</x:v>
      </x:c>
      <x:c r="Y138" s="39" t="str">
        <x:v>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138" s="39" t="str">
        <x:v>不适用：当前题目不存在需要用户进一步选择的候选记忆。</x:v>
      </x:c>
      <x:c r="AA138" s="39" t="str">
        <x:v>不适用：当前题目没有指定需要排除的冲突或禁止记忆。</x:v>
      </x:c>
      <x:c r="AB138" s="39" t="str">
        <x:v>应执行以下操作：在 RampUpAndDown.xlsx 中根据第 2 行已有加速度公式填充 B、D 两列其余行；再把 A 到 D 列连同表头按“Header: cell value”格式拼接到新建 Combined Data 列，并将其中数值保留两位小数。</x:v>
      </x:c>
      <x:c r="AC138" s="39" t="str">
        <x:v>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138" s="39" t="str">
        <x:v>用户的完整请求是：“这份升降数据还缺后续行，先沿用第2行公式填满，然后把A到D每项按“表头: 值”合成一列。”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x:v>
      </x:c>
      <x:c r="AE13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138" s="50" t="str">
        <x:v>not_pass</x:v>
      </x:c>
      <x:c r="AG138" s="50" t="n">
        <x:v>0</x:v>
      </x:c>
    </x:row>
    <x:row r="139" ht="202.5" customHeight="1">
      <x:c r="A139" s="35" t="str">
        <x:v>4de54231-e4b5-49e3-b2ba-61a0bec721c0_HQ3</x:v>
      </x:c>
      <x:c r="B139" s="36" t="str">
        <x:v>SG_TASK_4de54231-e4b5-49e3-b2ba-61a0bec721c0</x:v>
      </x:c>
      <x:c r="C139" s="36" t="str">
        <x:v>4de54231-e4b5-49e3-b2ba-61a0bec721c0</x:v>
      </x:c>
      <x:c r="D139" s="36" t="str">
        <x:v>RampUpAndDown.xlsx</x:v>
      </x:c>
      <x:c r="E139" s="36" t="str">
        <x:v>single_memory</x:v>
      </x:c>
      <x:c r="F139" s="36" t="str">
        <x:v>contextual_ellipsis</x:v>
      </x:c>
      <x:c r="G139" s="36" t="str">
        <x:v>train</x:v>
      </x:c>
      <x:c r="H139" s="36" t="str">
        <x:v>中等</x:v>
      </x:c>
      <x:c r="I139" s="36" t="str">
        <x:v>4de54231-e4b5-49e3-b2ba-61a0bec721c0</x:v>
      </x:c>
      <x:c r="J139" s="36" t="str">
        <x:v>CTX_4de54231-e4b5-49e3-b2ba-61a0bec721c0</x:v>
      </x:c>
      <x:c r="K139" s="36" t="str">
        <x:v>STM_4de54231-e4b5-49e3-b2ba-61a0bec721c0</x:v>
      </x:c>
      <x:c r="L139" s="36" t="str"/>
      <x:c r="M139" s="36" t="str"/>
      <x:c r="N139" s="36" t="str">
        <x:v>工作流程</x:v>
      </x:c>
      <x:c r="O139" s="36" t="str">
        <x:v>短期</x:v>
      </x:c>
      <x:c r="P139" s="36" t="str">
        <x:v>["libreoffice_calc"]</x:v>
      </x:c>
      <x:c r="Q139" s="36" t="str">
        <x:v>[{"step_id":"S1","app":"libreoffice_calc","action_key":"fill_acceleration_and_build_combined_data","input_artifacts":["RampUpAndDown.xlsx"],"output_artifacts":["RampUpAndDown.xlsx"],"depends_on":[]}]</x:v>
      </x:c>
      <x:c r="R139" s="36" t="str">
        <x:v>[]</x:v>
      </x:c>
      <x:c r="S139" s="36" t="str">
        <x:v>fill_acceleration_and_build_combined_data</x:v>
      </x:c>
      <x:c r="T139" s="36" t="str">
        <x:v>RampUpAndDown.xlsx</x:v>
      </x:c>
      <x:c r="U139" s="36" t="str">
        <x:v>retrieve_and_execute</x:v>
      </x:c>
      <x:c r="V139" s="36" t="str">
        <x:v>[{"point_id":"P1","description":"主要处理方式与预期动作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x:v>
      </x:c>
      <x:c r="W139" s="36" t="str">
        <x:v>1.00</x:v>
      </x:c>
      <x:c r="X139" s="39" t="str">
        <x:v>当前表继续做公式下填和 Combined Data 拼接，四个字段都不能漏。</x:v>
      </x:c>
      <x:c r="Y139" s="39" t="str">
        <x:v>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139" s="39" t="str">
        <x:v>不适用：当前题目不存在需要用户进一步选择的候选记忆。</x:v>
      </x:c>
      <x:c r="AA139" s="39" t="str">
        <x:v>不适用：当前题目没有指定需要排除的冲突或禁止记忆。</x:v>
      </x:c>
      <x:c r="AB139" s="39" t="str">
        <x:v>应执行以下操作：在 RampUpAndDown.xlsx 中根据第 2 行已有加速度公式填充 B、D 两列其余行；再把 A 到 D 列连同表头按“Header: cell value”格式拼接到新建 Combined Data 列，并将其中数值保留两位小数。</x:v>
      </x:c>
      <x:c r="AC139" s="39" t="str">
        <x:v>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139" s="39" t="str">
        <x:v>用户的完整请求是：“当前表继续做公式下填和 Combined Data 拼接，四个字段都不能漏。”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x:v>
      </x:c>
      <x:c r="AE13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139" s="50" t="str">
        <x:v>not_pass</x:v>
      </x:c>
      <x:c r="AG139" s="50" t="n">
        <x:v>0</x:v>
      </x:c>
    </x:row>
    <x:row r="140" ht="202.5" customHeight="1">
      <x:c r="A140" s="35" t="str">
        <x:v>4de54231-e4b5-49e3-b2ba-61a0bec721c0_HQ4</x:v>
      </x:c>
      <x:c r="B140" s="36" t="str">
        <x:v>SG_TASK_4de54231-e4b5-49e3-b2ba-61a0bec721c0</x:v>
      </x:c>
      <x:c r="C140" s="36" t="str">
        <x:v>4de54231-e4b5-49e3-b2ba-61a0bec721c0</x:v>
      </x:c>
      <x:c r="D140" s="36" t="str">
        <x:v>RampUpAndDown.xlsx</x:v>
      </x:c>
      <x:c r="E140" s="36" t="str">
        <x:v>single_memory</x:v>
      </x:c>
      <x:c r="F140" s="36" t="str">
        <x:v>low_overlap_paraphrase</x:v>
      </x:c>
      <x:c r="G140" s="36" t="str">
        <x:v>train</x:v>
      </x:c>
      <x:c r="H140" s="36" t="str">
        <x:v>困难</x:v>
      </x:c>
      <x:c r="I140" s="36" t="str">
        <x:v>4de54231-e4b5-49e3-b2ba-61a0bec721c0</x:v>
      </x:c>
      <x:c r="J140" s="36" t="str">
        <x:v>CTX_4de54231-e4b5-49e3-b2ba-61a0bec721c0</x:v>
      </x:c>
      <x:c r="K140" s="36" t="str">
        <x:v>STM_4de54231-e4b5-49e3-b2ba-61a0bec721c0</x:v>
      </x:c>
      <x:c r="L140" s="36" t="str"/>
      <x:c r="M140" s="36" t="str"/>
      <x:c r="N140" s="36" t="str">
        <x:v>工作流程</x:v>
      </x:c>
      <x:c r="O140" s="36" t="str">
        <x:v>短期</x:v>
      </x:c>
      <x:c r="P140" s="36" t="str">
        <x:v>["libreoffice_calc"]</x:v>
      </x:c>
      <x:c r="Q140" s="36" t="str">
        <x:v>[{"step_id":"S1","app":"libreoffice_calc","action_key":"fill_acceleration_and_build_combined_data","input_artifacts":["RampUpAndDown.xlsx"],"output_artifacts":["RampUpAndDown.xlsx"],"depends_on":[]}]</x:v>
      </x:c>
      <x:c r="R140" s="36" t="str">
        <x:v>[]</x:v>
      </x:c>
      <x:c r="S140" s="36" t="str">
        <x:v>fill_acceleration_and_build_combined_data</x:v>
      </x:c>
      <x:c r="T140" s="36" t="str">
        <x:v>RampUpAndDown.xlsx</x:v>
      </x:c>
      <x:c r="U140" s="36" t="str">
        <x:v>retrieve_and_execute</x:v>
      </x:c>
      <x:c r="V140" s="36" t="str">
        <x:v>[{"point_id":"P1","description":"主要处理方式与预期动作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x:v>
      </x:c>
      <x:c r="W140" s="36" t="str">
        <x:v>1.00</x:v>
      </x:c>
      <x:c r="X140" s="39" t="str">
        <x:v>为了后续导出，我既要完整的加速度列，也要每行一段可读的键值文本。</x:v>
      </x:c>
      <x:c r="Y140" s="39" t="str">
        <x:v>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140" s="39" t="str">
        <x:v>不适用：当前题目不存在需要用户进一步选择的候选记忆。</x:v>
      </x:c>
      <x:c r="AA140" s="39" t="str">
        <x:v>不适用：当前题目没有指定需要排除的冲突或禁止记忆。</x:v>
      </x:c>
      <x:c r="AB140" s="39" t="str">
        <x:v>应执行以下操作：在 RampUpAndDown.xlsx 中根据第 2 行已有加速度公式填充 B、D 两列其余行；再把 A 到 D 列连同表头按“Header: cell value”格式拼接到新建 Combined Data 列，并将其中数值保留两位小数。</x:v>
      </x:c>
      <x:c r="AC140" s="39" t="str">
        <x:v>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140" s="39" t="str">
        <x:v>用户的完整请求是：“为了后续导出，我既要完整的加速度列，也要每行一段可读的键值文本。”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x:v>
      </x:c>
      <x:c r="AE14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140" s="50" t="str">
        <x:v>not_pass</x:v>
      </x:c>
      <x:c r="AG140" s="50" t="n">
        <x:v>0</x:v>
      </x:c>
    </x:row>
    <x:row r="141" ht="202.5" customHeight="1">
      <x:c r="A141" s="35" t="str">
        <x:v>4de54231-e4b5-49e3-b2ba-61a0bec721c0_HQ5</x:v>
      </x:c>
      <x:c r="B141" s="36" t="str">
        <x:v>SG_TASK_4de54231-e4b5-49e3-b2ba-61a0bec721c0</x:v>
      </x:c>
      <x:c r="C141" s="36" t="str">
        <x:v>4de54231-e4b5-49e3-b2ba-61a0bec721c0</x:v>
      </x:c>
      <x:c r="D141" s="36" t="str">
        <x:v>RampUpAndDown.xlsx</x:v>
      </x:c>
      <x:c r="E141" s="36" t="str">
        <x:v>single_memory</x:v>
      </x:c>
      <x:c r="F141" s="36" t="str">
        <x:v>human_constraint_emphasis</x:v>
      </x:c>
      <x:c r="G141" s="36" t="str">
        <x:v>train</x:v>
      </x:c>
      <x:c r="H141" s="36" t="str">
        <x:v>困难</x:v>
      </x:c>
      <x:c r="I141" s="36" t="str">
        <x:v>4de54231-e4b5-49e3-b2ba-61a0bec721c0</x:v>
      </x:c>
      <x:c r="J141" s="36" t="str">
        <x:v>CTX_4de54231-e4b5-49e3-b2ba-61a0bec721c0</x:v>
      </x:c>
      <x:c r="K141" s="36" t="str">
        <x:v>STM_4de54231-e4b5-49e3-b2ba-61a0bec721c0</x:v>
      </x:c>
      <x:c r="L141" s="36" t="str"/>
      <x:c r="M141" s="36" t="str"/>
      <x:c r="N141" s="36" t="str">
        <x:v>工作流程</x:v>
      </x:c>
      <x:c r="O141" s="36" t="str">
        <x:v>短期</x:v>
      </x:c>
      <x:c r="P141" s="36" t="str">
        <x:v>["libreoffice_calc"]</x:v>
      </x:c>
      <x:c r="Q141" s="36" t="str">
        <x:v>[{"step_id":"S1","app":"libreoffice_calc","action_key":"fill_acceleration_and_build_combined_data","input_artifacts":["RampUpAndDown.xlsx"],"output_artifacts":["RampUpAndDown.xlsx"],"depends_on":[]}]</x:v>
      </x:c>
      <x:c r="R141" s="36" t="str">
        <x:v>[]</x:v>
      </x:c>
      <x:c r="S141" s="36" t="str">
        <x:v>fill_acceleration_and_build_combined_data</x:v>
      </x:c>
      <x:c r="T141" s="36" t="str">
        <x:v>RampUpAndDown.xlsx</x:v>
      </x:c>
      <x:c r="U141" s="36" t="str">
        <x:v>retrieve_and_execute</x:v>
      </x:c>
      <x:c r="V141" s="36" t="str">
        <x:v>[{"point_id":"P1","description":"主要处理方式与预期动作 fill_acceleration_and_build_combined_data 语义一致","weight":0.4,"evidence_memory_ids":["STM_4de54231-e4b5-49e3-b2ba-61a0bec721c0"]},{"point_id":"P2","description":"正确定位目标对象 RampUpAndDown.xlsx","weight":0.2,"evidence_memory_ids":["STM_4de54231-e4b5-49e3-b2ba-61a0bec721c0"]},{"point_id":"P3","description":"满足关键条件：B、D 列按第2行模式填充；Combined Data 包含 A-D 四项及表头；数值保留两位小数","weight":0.3,"evidence_memory_ids":["STM_4de54231-e4b5-49e3-b2ba-61a0bec721c0"]},{"point_id":"P4","description":"不增加无记忆证据支持的操作","weight":0.1,"evidence_memory_ids":["STM_4de54231-e4b5-49e3-b2ba-61a0bec721c0"]}]</x:v>
      </x:c>
      <x:c r="W141" s="36" t="str">
        <x:v>1.00</x:v>
      </x:c>
      <x:c r="X141" s="39" t="str">
        <x:v>B、D按第2行填充；A-D连表头拼到 Combined Data，里面的数字只留两位。</x:v>
      </x:c>
      <x:c r="Y141" s="39" t="str">
        <x:v>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141" s="39" t="str">
        <x:v>不适用：当前题目不存在需要用户进一步选择的候选记忆。</x:v>
      </x:c>
      <x:c r="AA141" s="39" t="str">
        <x:v>不适用：当前题目没有指定需要排除的冲突或禁止记忆。</x:v>
      </x:c>
      <x:c r="AB141" s="39" t="str">
        <x:v>应执行以下操作：在 RampUpAndDown.xlsx 中根据第 2 行已有加速度公式填充 B、D 两列其余行；再把 A 到 D 列连同表头按“Header: cell value”格式拼接到新建 Combined Data 列，并将其中数值保留两位小数。</x:v>
      </x:c>
      <x:c r="AC141" s="39" t="str">
        <x:v>第1项实际操作：在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141" s="39" t="str">
        <x:v>用户的完整请求是：“B、D按第2行填充；A-D连表头拼到 Combined Data，里面的数字只留两位。” 第1个当前上下文：RampUpAndDown.xlsx 已在 LibreOffice Calc 中打开。 当前请求是在已有办公上下文中继续、复用或重新强调既有处理方式。与该请求唯一对应的完整必需记忆如下：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RampUpAndDown.xlsx 中根据第 2 行已有加速度公式填充 B、D 两列其余行；再把 A 到 D 列连同表头按“Header: cell value”格式拼接到新建 Combined Data 列，并将其中数值保留两位小数。”</x:v>
      </x:c>
      <x:c r="AE14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第2个得分点（0.20分）：正确定位目标对象 RampUpAndDown.xlsx。该得分点所依据的完整证据为：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第3个得分点（0.30分）：满足关键条件：B、D 列按第2行模式填充；Combined Data 包含 A-D 四项及表头；数值保留两位小数。该得分点所依据的完整证据为：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第4个得分点（0.10分）：不增加无记忆证据支持的操作。该得分点所依据的完整证据为：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141" s="50" t="str">
        <x:v>not_pass</x:v>
      </x:c>
      <x:c r="AG141" s="50" t="n">
        <x:v>0</x:v>
      </x:c>
    </x:row>
    <x:row r="142" ht="165" customHeight="1">
      <x:c r="A142" s="35" t="str">
        <x:v>4e6fcf72-daf3-439f-a232-c434ce416af6_HQ1</x:v>
      </x:c>
      <x:c r="B142" s="36" t="str">
        <x:v>SG_TASK_4e6fcf72-daf3-439f-a232-c434ce416af6</x:v>
      </x:c>
      <x:c r="C142" s="36" t="str">
        <x:v>4e6fcf72-daf3-439f-a232-c434ce416af6</x:v>
      </x:c>
      <x:c r="D142" s="36" t="str">
        <x:v>Employee_Age_By_Birthday.xlsx</x:v>
      </x:c>
      <x:c r="E142" s="36" t="str">
        <x:v>single_memory</x:v>
      </x:c>
      <x:c r="F142" s="36" t="str">
        <x:v>human_context_explicit</x:v>
      </x:c>
      <x:c r="G142" s="36" t="str">
        <x:v>dev</x:v>
      </x:c>
      <x:c r="H142" s="36" t="str">
        <x:v>简单</x:v>
      </x:c>
      <x:c r="I142" s="36" t="str">
        <x:v>4e6fcf72-daf3-439f-a232-c434ce416af6</x:v>
      </x:c>
      <x:c r="J142" s="36" t="str">
        <x:v>CTX_4e6fcf72-daf3-439f-a232-c434ce416af6</x:v>
      </x:c>
      <x:c r="K142" s="36" t="str">
        <x:v>MTM_4e6fcf72-daf3-439f-a232-c434ce416af6</x:v>
      </x:c>
      <x:c r="L142" s="36" t="str"/>
      <x:c r="M142" s="36" t="str"/>
      <x:c r="N142" s="36" t="str">
        <x:v>知识</x:v>
      </x:c>
      <x:c r="O142" s="36" t="str">
        <x:v>中期</x:v>
      </x:c>
      <x:c r="P142" s="36" t="str">
        <x:v>["libreoffice_calc"]</x:v>
      </x:c>
      <x:c r="Q142" s="36" t="str">
        <x:v>[{"step_id":"S1","app":"libreoffice_calc","action_key":"calculate_employee_ages","input_artifacts":["Employee_Age_By_Birthday.xlsx"],"output_artifacts":["Employee_Age_By_Birthday.xlsx"],"depends_on":[]}]</x:v>
      </x:c>
      <x:c r="R142" s="36" t="str">
        <x:v>[]</x:v>
      </x:c>
      <x:c r="S142" s="36" t="str">
        <x:v>calculate_employee_ages</x:v>
      </x:c>
      <x:c r="T142" s="36" t="str">
        <x:v>Employee_Age_By_Birthday.xlsx</x:v>
      </x:c>
      <x:c r="U142" s="36" t="str">
        <x:v>retrieve_and_execute</x:v>
      </x:c>
      <x:c r="V142" s="36" t="str">
        <x:v>[{"point_id":"P1","description":"主要处理方式与预期动作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x:v>
      </x:c>
      <x:c r="W142" s="36" t="str">
        <x:v>1.00</x:v>
      </x:c>
      <x:c r="X142" s="39" t="str">
        <x:v>Employee_Age_By_Birthday.xlsx 的年龄列按之前的生日计算方法补齐，别动其他区域。</x:v>
      </x:c>
      <x:c r="Y142" s="39" t="str">
        <x:v>第1条记忆（中期/知识）：在 Employee_Age_By_Birthday.xlsx 中根据每位员工的生日计算对应年龄并填入目标区域。关键约束：覆盖所有员工；依据生日计算；不修改无关区域或其他空白单元格。</x:v>
      </x:c>
      <x:c r="Z142" s="39" t="str">
        <x:v>不适用：当前题目不存在需要用户进一步选择的候选记忆。</x:v>
      </x:c>
      <x:c r="AA142" s="39" t="str">
        <x:v>不适用：当前题目没有指定需要排除的冲突或禁止记忆。</x:v>
      </x:c>
      <x:c r="AB142" s="39" t="str">
        <x:v>应执行以下操作：在 Employee_Age_By_Birthday.xlsx 中根据每位员工的生日计算对应年龄并填入目标区域。</x:v>
      </x:c>
      <x:c r="AC142" s="39" t="str">
        <x:v>第1项实际操作：在 Employee_Age_By_Birthday.xlsx 中根据每位员工的生日计算对应年龄并填入目标区域。执行时必须满足：覆盖所有员工；依据生日计算；不修改无关区域或其他空白单元格。</x:v>
      </x:c>
      <x:c r="AD142" s="39" t="str">
        <x:v>用户的完整请求是：“Employee_Age_By_Birthday.xlsx 的年龄列按之前的生日计算方法补齐，别动其他区域。”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x:v>
      </x:c>
      <x:c r="AE14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142" s="50" t="str">
        <x:v>not_pass</x:v>
      </x:c>
      <x:c r="AG142" s="50" t="n">
        <x:v>0</x:v>
      </x:c>
    </x:row>
    <x:row r="143" ht="165" customHeight="1">
      <x:c r="A143" s="35" t="str">
        <x:v>4e6fcf72-daf3-439f-a232-c434ce416af6_HQ2</x:v>
      </x:c>
      <x:c r="B143" s="36" t="str">
        <x:v>SG_TASK_4e6fcf72-daf3-439f-a232-c434ce416af6</x:v>
      </x:c>
      <x:c r="C143" s="36" t="str">
        <x:v>4e6fcf72-daf3-439f-a232-c434ce416af6</x:v>
      </x:c>
      <x:c r="D143" s="36" t="str">
        <x:v>Employee_Age_By_Birthday.xlsx</x:v>
      </x:c>
      <x:c r="E143" s="36" t="str">
        <x:v>single_memory</x:v>
      </x:c>
      <x:c r="F143" s="36" t="str">
        <x:v>human_goal_oriented</x:v>
      </x:c>
      <x:c r="G143" s="36" t="str">
        <x:v>dev</x:v>
      </x:c>
      <x:c r="H143" s="36" t="str">
        <x:v>中等</x:v>
      </x:c>
      <x:c r="I143" s="36" t="str">
        <x:v>4e6fcf72-daf3-439f-a232-c434ce416af6</x:v>
      </x:c>
      <x:c r="J143" s="36" t="str">
        <x:v>CTX_4e6fcf72-daf3-439f-a232-c434ce416af6</x:v>
      </x:c>
      <x:c r="K143" s="36" t="str">
        <x:v>MTM_4e6fcf72-daf3-439f-a232-c434ce416af6</x:v>
      </x:c>
      <x:c r="L143" s="36" t="str"/>
      <x:c r="M143" s="36" t="str"/>
      <x:c r="N143" s="36" t="str">
        <x:v>知识</x:v>
      </x:c>
      <x:c r="O143" s="36" t="str">
        <x:v>中期</x:v>
      </x:c>
      <x:c r="P143" s="36" t="str">
        <x:v>["libreoffice_calc"]</x:v>
      </x:c>
      <x:c r="Q143" s="36" t="str">
        <x:v>[{"step_id":"S1","app":"libreoffice_calc","action_key":"calculate_employee_ages","input_artifacts":["Employee_Age_By_Birthday.xlsx"],"output_artifacts":["Employee_Age_By_Birthday.xlsx"],"depends_on":[]}]</x:v>
      </x:c>
      <x:c r="R143" s="36" t="str">
        <x:v>[]</x:v>
      </x:c>
      <x:c r="S143" s="36" t="str">
        <x:v>calculate_employee_ages</x:v>
      </x:c>
      <x:c r="T143" s="36" t="str">
        <x:v>Employee_Age_By_Birthday.xlsx</x:v>
      </x:c>
      <x:c r="U143" s="36" t="str">
        <x:v>retrieve_and_execute</x:v>
      </x:c>
      <x:c r="V143" s="36" t="str">
        <x:v>[{"point_id":"P1","description":"主要处理方式与预期动作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x:v>
      </x:c>
      <x:c r="W143" s="36" t="str">
        <x:v>1.00</x:v>
      </x:c>
      <x:c r="X143" s="39" t="str">
        <x:v>我需要更新员工年龄，麻烦根据每个人的 birthday 算出当前年龄。</x:v>
      </x:c>
      <x:c r="Y143" s="39" t="str">
        <x:v>第1条记忆（中期/知识）：在 Employee_Age_By_Birthday.xlsx 中根据每位员工的生日计算对应年龄并填入目标区域。关键约束：覆盖所有员工；依据生日计算；不修改无关区域或其他空白单元格。</x:v>
      </x:c>
      <x:c r="Z143" s="39" t="str">
        <x:v>不适用：当前题目不存在需要用户进一步选择的候选记忆。</x:v>
      </x:c>
      <x:c r="AA143" s="39" t="str">
        <x:v>不适用：当前题目没有指定需要排除的冲突或禁止记忆。</x:v>
      </x:c>
      <x:c r="AB143" s="39" t="str">
        <x:v>应执行以下操作：在 Employee_Age_By_Birthday.xlsx 中根据每位员工的生日计算对应年龄并填入目标区域。</x:v>
      </x:c>
      <x:c r="AC143" s="39" t="str">
        <x:v>第1项实际操作：在 Employee_Age_By_Birthday.xlsx 中根据每位员工的生日计算对应年龄并填入目标区域。执行时必须满足：覆盖所有员工；依据生日计算；不修改无关区域或其他空白单元格。</x:v>
      </x:c>
      <x:c r="AD143" s="39" t="str">
        <x:v>用户的完整请求是：“我需要更新员工年龄，麻烦根据每个人的 birthday 算出当前年龄。”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x:v>
      </x:c>
      <x:c r="AE14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143" s="50" t="str">
        <x:v>not_pass</x:v>
      </x:c>
      <x:c r="AG143" s="50" t="n">
        <x:v>0</x:v>
      </x:c>
    </x:row>
    <x:row r="144" ht="165" customHeight="1">
      <x:c r="A144" s="35" t="str">
        <x:v>4e6fcf72-daf3-439f-a232-c434ce416af6_HQ3</x:v>
      </x:c>
      <x:c r="B144" s="36" t="str">
        <x:v>SG_TASK_4e6fcf72-daf3-439f-a232-c434ce416af6</x:v>
      </x:c>
      <x:c r="C144" s="36" t="str">
        <x:v>4e6fcf72-daf3-439f-a232-c434ce416af6</x:v>
      </x:c>
      <x:c r="D144" s="36" t="str">
        <x:v>Employee_Age_By_Birthday.xlsx</x:v>
      </x:c>
      <x:c r="E144" s="36" t="str">
        <x:v>single_memory</x:v>
      </x:c>
      <x:c r="F144" s="36" t="str">
        <x:v>contextual_ellipsis</x:v>
      </x:c>
      <x:c r="G144" s="36" t="str">
        <x:v>dev</x:v>
      </x:c>
      <x:c r="H144" s="36" t="str">
        <x:v>中等</x:v>
      </x:c>
      <x:c r="I144" s="36" t="str">
        <x:v>4e6fcf72-daf3-439f-a232-c434ce416af6</x:v>
      </x:c>
      <x:c r="J144" s="36" t="str">
        <x:v>CTX_4e6fcf72-daf3-439f-a232-c434ce416af6</x:v>
      </x:c>
      <x:c r="K144" s="36" t="str">
        <x:v>MTM_4e6fcf72-daf3-439f-a232-c434ce416af6</x:v>
      </x:c>
      <x:c r="L144" s="36" t="str"/>
      <x:c r="M144" s="36" t="str"/>
      <x:c r="N144" s="36" t="str">
        <x:v>知识</x:v>
      </x:c>
      <x:c r="O144" s="36" t="str">
        <x:v>中期</x:v>
      </x:c>
      <x:c r="P144" s="36" t="str">
        <x:v>["libreoffice_calc"]</x:v>
      </x:c>
      <x:c r="Q144" s="36" t="str">
        <x:v>[{"step_id":"S1","app":"libreoffice_calc","action_key":"calculate_employee_ages","input_artifacts":["Employee_Age_By_Birthday.xlsx"],"output_artifacts":["Employee_Age_By_Birthday.xlsx"],"depends_on":[]}]</x:v>
      </x:c>
      <x:c r="R144" s="36" t="str">
        <x:v>[]</x:v>
      </x:c>
      <x:c r="S144" s="36" t="str">
        <x:v>calculate_employee_ages</x:v>
      </x:c>
      <x:c r="T144" s="36" t="str">
        <x:v>Employee_Age_By_Birthday.xlsx</x:v>
      </x:c>
      <x:c r="U144" s="36" t="str">
        <x:v>retrieve_and_execute</x:v>
      </x:c>
      <x:c r="V144" s="36" t="str">
        <x:v>[{"point_id":"P1","description":"主要处理方式与预期动作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x:v>
      </x:c>
      <x:c r="W144" s="36" t="str">
        <x:v>1.00</x:v>
      </x:c>
      <x:c r="X144" s="39" t="str">
        <x:v>当前员工表继续补年龄，所有人的记录都检查一遍。</x:v>
      </x:c>
      <x:c r="Y144" s="39" t="str">
        <x:v>第1条记忆（中期/知识）：在 Employee_Age_By_Birthday.xlsx 中根据每位员工的生日计算对应年龄并填入目标区域。关键约束：覆盖所有员工；依据生日计算；不修改无关区域或其他空白单元格。</x:v>
      </x:c>
      <x:c r="Z144" s="39" t="str">
        <x:v>不适用：当前题目不存在需要用户进一步选择的候选记忆。</x:v>
      </x:c>
      <x:c r="AA144" s="39" t="str">
        <x:v>不适用：当前题目没有指定需要排除的冲突或禁止记忆。</x:v>
      </x:c>
      <x:c r="AB144" s="39" t="str">
        <x:v>应执行以下操作：在 Employee_Age_By_Birthday.xlsx 中根据每位员工的生日计算对应年龄并填入目标区域。</x:v>
      </x:c>
      <x:c r="AC144" s="39" t="str">
        <x:v>第1项实际操作：在 Employee_Age_By_Birthday.xlsx 中根据每位员工的生日计算对应年龄并填入目标区域。执行时必须满足：覆盖所有员工；依据生日计算；不修改无关区域或其他空白单元格。</x:v>
      </x:c>
      <x:c r="AD144" s="39" t="str">
        <x:v>用户的完整请求是：“当前员工表继续补年龄，所有人的记录都检查一遍。”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x:v>
      </x:c>
      <x:c r="AE14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144" s="50" t="str">
        <x:v>not_pass</x:v>
      </x:c>
      <x:c r="AG144" s="50" t="n">
        <x:v>0</x:v>
      </x:c>
    </x:row>
    <x:row r="145" ht="165" customHeight="1">
      <x:c r="A145" s="35" t="str">
        <x:v>4e6fcf72-daf3-439f-a232-c434ce416af6_HQ4</x:v>
      </x:c>
      <x:c r="B145" s="36" t="str">
        <x:v>SG_TASK_4e6fcf72-daf3-439f-a232-c434ce416af6</x:v>
      </x:c>
      <x:c r="C145" s="36" t="str">
        <x:v>4e6fcf72-daf3-439f-a232-c434ce416af6</x:v>
      </x:c>
      <x:c r="D145" s="36" t="str">
        <x:v>Employee_Age_By_Birthday.xlsx</x:v>
      </x:c>
      <x:c r="E145" s="36" t="str">
        <x:v>single_memory</x:v>
      </x:c>
      <x:c r="F145" s="36" t="str">
        <x:v>low_overlap_paraphrase</x:v>
      </x:c>
      <x:c r="G145" s="36" t="str">
        <x:v>dev</x:v>
      </x:c>
      <x:c r="H145" s="36" t="str">
        <x:v>困难</x:v>
      </x:c>
      <x:c r="I145" s="36" t="str">
        <x:v>4e6fcf72-daf3-439f-a232-c434ce416af6</x:v>
      </x:c>
      <x:c r="J145" s="36" t="str">
        <x:v>CTX_4e6fcf72-daf3-439f-a232-c434ce416af6</x:v>
      </x:c>
      <x:c r="K145" s="36" t="str">
        <x:v>MTM_4e6fcf72-daf3-439f-a232-c434ce416af6</x:v>
      </x:c>
      <x:c r="L145" s="36" t="str"/>
      <x:c r="M145" s="36" t="str"/>
      <x:c r="N145" s="36" t="str">
        <x:v>知识</x:v>
      </x:c>
      <x:c r="O145" s="36" t="str">
        <x:v>中期</x:v>
      </x:c>
      <x:c r="P145" s="36" t="str">
        <x:v>["libreoffice_calc"]</x:v>
      </x:c>
      <x:c r="Q145" s="36" t="str">
        <x:v>[{"step_id":"S1","app":"libreoffice_calc","action_key":"calculate_employee_ages","input_artifacts":["Employee_Age_By_Birthday.xlsx"],"output_artifacts":["Employee_Age_By_Birthday.xlsx"],"depends_on":[]}]</x:v>
      </x:c>
      <x:c r="R145" s="36" t="str">
        <x:v>[]</x:v>
      </x:c>
      <x:c r="S145" s="36" t="str">
        <x:v>calculate_employee_ages</x:v>
      </x:c>
      <x:c r="T145" s="36" t="str">
        <x:v>Employee_Age_By_Birthday.xlsx</x:v>
      </x:c>
      <x:c r="U145" s="36" t="str">
        <x:v>retrieve_and_execute</x:v>
      </x:c>
      <x:c r="V145" s="36" t="str">
        <x:v>[{"point_id":"P1","description":"主要处理方式与预期动作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x:v>
      </x:c>
      <x:c r="W145" s="36" t="str">
        <x:v>1.00</x:v>
      </x:c>
      <x:c r="X145" s="39" t="str">
        <x:v>人事名单只给了出生日期，请把它换算成可直接使用的年龄数字。</x:v>
      </x:c>
      <x:c r="Y145" s="39" t="str">
        <x:v>第1条记忆（中期/知识）：在 Employee_Age_By_Birthday.xlsx 中根据每位员工的生日计算对应年龄并填入目标区域。关键约束：覆盖所有员工；依据生日计算；不修改无关区域或其他空白单元格。</x:v>
      </x:c>
      <x:c r="Z145" s="39" t="str">
        <x:v>不适用：当前题目不存在需要用户进一步选择的候选记忆。</x:v>
      </x:c>
      <x:c r="AA145" s="39" t="str">
        <x:v>不适用：当前题目没有指定需要排除的冲突或禁止记忆。</x:v>
      </x:c>
      <x:c r="AB145" s="39" t="str">
        <x:v>应执行以下操作：在 Employee_Age_By_Birthday.xlsx 中根据每位员工的生日计算对应年龄并填入目标区域。</x:v>
      </x:c>
      <x:c r="AC145" s="39" t="str">
        <x:v>第1项实际操作：在 Employee_Age_By_Birthday.xlsx 中根据每位员工的生日计算对应年龄并填入目标区域。执行时必须满足：覆盖所有员工；依据生日计算；不修改无关区域或其他空白单元格。</x:v>
      </x:c>
      <x:c r="AD145" s="39" t="str">
        <x:v>用户的完整请求是：“人事名单只给了出生日期，请把它换算成可直接使用的年龄数字。”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x:v>
      </x:c>
      <x:c r="AE14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145" s="50" t="str">
        <x:v>not_pass</x:v>
      </x:c>
      <x:c r="AG145" s="50" t="n">
        <x:v>0</x:v>
      </x:c>
    </x:row>
    <x:row r="146" ht="165" customHeight="1">
      <x:c r="A146" s="35" t="str">
        <x:v>4e6fcf72-daf3-439f-a232-c434ce416af6_HQ5</x:v>
      </x:c>
      <x:c r="B146" s="36" t="str">
        <x:v>SG_TASK_4e6fcf72-daf3-439f-a232-c434ce416af6</x:v>
      </x:c>
      <x:c r="C146" s="36" t="str">
        <x:v>4e6fcf72-daf3-439f-a232-c434ce416af6</x:v>
      </x:c>
      <x:c r="D146" s="36" t="str">
        <x:v>Employee_Age_By_Birthday.xlsx</x:v>
      </x:c>
      <x:c r="E146" s="36" t="str">
        <x:v>single_memory</x:v>
      </x:c>
      <x:c r="F146" s="36" t="str">
        <x:v>human_constraint_emphasis</x:v>
      </x:c>
      <x:c r="G146" s="36" t="str">
        <x:v>dev</x:v>
      </x:c>
      <x:c r="H146" s="36" t="str">
        <x:v>困难</x:v>
      </x:c>
      <x:c r="I146" s="36" t="str">
        <x:v>4e6fcf72-daf3-439f-a232-c434ce416af6</x:v>
      </x:c>
      <x:c r="J146" s="36" t="str">
        <x:v>CTX_4e6fcf72-daf3-439f-a232-c434ce416af6</x:v>
      </x:c>
      <x:c r="K146" s="36" t="str">
        <x:v>MTM_4e6fcf72-daf3-439f-a232-c434ce416af6</x:v>
      </x:c>
      <x:c r="L146" s="36" t="str"/>
      <x:c r="M146" s="36" t="str"/>
      <x:c r="N146" s="36" t="str">
        <x:v>知识</x:v>
      </x:c>
      <x:c r="O146" s="36" t="str">
        <x:v>中期</x:v>
      </x:c>
      <x:c r="P146" s="36" t="str">
        <x:v>["libreoffice_calc"]</x:v>
      </x:c>
      <x:c r="Q146" s="36" t="str">
        <x:v>[{"step_id":"S1","app":"libreoffice_calc","action_key":"calculate_employee_ages","input_artifacts":["Employee_Age_By_Birthday.xlsx"],"output_artifacts":["Employee_Age_By_Birthday.xlsx"],"depends_on":[]}]</x:v>
      </x:c>
      <x:c r="R146" s="36" t="str">
        <x:v>[]</x:v>
      </x:c>
      <x:c r="S146" s="36" t="str">
        <x:v>calculate_employee_ages</x:v>
      </x:c>
      <x:c r="T146" s="36" t="str">
        <x:v>Employee_Age_By_Birthday.xlsx</x:v>
      </x:c>
      <x:c r="U146" s="36" t="str">
        <x:v>retrieve_and_execute</x:v>
      </x:c>
      <x:c r="V146" s="36" t="str">
        <x:v>[{"point_id":"P1","description":"主要处理方式与预期动作 calculate_employee_ages 语义一致","weight":0.4,"evidence_memory_ids":["MTM_4e6fcf72-daf3-439f-a232-c434ce416af6"]},{"point_id":"P2","description":"正确定位目标对象 Employee_Age_By_Birthday.xlsx","weight":0.2,"evidence_memory_ids":["MTM_4e6fcf72-daf3-439f-a232-c434ce416af6"]},{"point_id":"P3","description":"满足关键条件：覆盖所有员工；依据生日计算；不修改无关区域或其他空白单元格","weight":0.3,"evidence_memory_ids":["MTM_4e6fcf72-daf3-439f-a232-c434ce416af6"]},{"point_id":"P4","description":"不增加无记忆证据支持的操作","weight":0.1,"evidence_memory_ids":["MTM_4e6fcf72-daf3-439f-a232-c434ce416af6"]}]</x:v>
      </x:c>
      <x:c r="W146" s="36" t="str">
        <x:v>1.00</x:v>
      </x:c>
      <x:c r="X146" s="39" t="str">
        <x:v>按生日逐人计算年龄并填好，表里无关的空白不要顺手处理。</x:v>
      </x:c>
      <x:c r="Y146" s="39" t="str">
        <x:v>第1条记忆（中期/知识）：在 Employee_Age_By_Birthday.xlsx 中根据每位员工的生日计算对应年龄并填入目标区域。关键约束：覆盖所有员工；依据生日计算；不修改无关区域或其他空白单元格。</x:v>
      </x:c>
      <x:c r="Z146" s="39" t="str">
        <x:v>不适用：当前题目不存在需要用户进一步选择的候选记忆。</x:v>
      </x:c>
      <x:c r="AA146" s="39" t="str">
        <x:v>不适用：当前题目没有指定需要排除的冲突或禁止记忆。</x:v>
      </x:c>
      <x:c r="AB146" s="39" t="str">
        <x:v>应执行以下操作：在 Employee_Age_By_Birthday.xlsx 中根据每位员工的生日计算对应年龄并填入目标区域。</x:v>
      </x:c>
      <x:c r="AC146" s="39" t="str">
        <x:v>第1项实际操作：在 Employee_Age_By_Birthday.xlsx 中根据每位员工的生日计算对应年龄并填入目标区域。执行时必须满足：覆盖所有员工；依据生日计算；不修改无关区域或其他空白单元格。</x:v>
      </x:c>
      <x:c r="AD146" s="39" t="str">
        <x:v>用户的完整请求是：“按生日逐人计算年龄并填好，表里无关的空白不要顺手处理。” 第1个当前上下文：Employee_Age_By_Birthday.xlsx 已在 LibreOffice Calc 中打开。 当前请求是在已有办公上下文中继续、复用或重新强调既有处理方式。与该请求唯一对应的完整必需记忆如下：
第1条记忆（中期/知识）：在 Employee_Age_By_Birthday.xlsx 中根据每位员工的生日计算对应年龄并填入目标区域。关键约束：覆盖所有员工；依据生日计算；不修改无关区域或其他空白单元格。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Employee_Age_By_Birthday.xlsx 中根据每位员工的生日计算对应年龄并填入目标区域。”</x:v>
      </x:c>
      <x:c r="AE14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第2个得分点（0.20分）：正确定位目标对象 Employee_Age_By_Birthday.xlsx。该得分点所依据的完整证据为：
第1条记忆（中期/知识）：在 Employee_Age_By_Birthday.xlsx 中根据每位员工的生日计算对应年龄并填入目标区域。关键约束：覆盖所有员工；依据生日计算；不修改无关区域或其他空白单元格。
第3个得分点（0.30分）：满足关键条件：覆盖所有员工；依据生日计算；不修改无关区域或其他空白单元格。该得分点所依据的完整证据为：
第1条记忆（中期/知识）：在 Employee_Age_By_Birthday.xlsx 中根据每位员工的生日计算对应年龄并填入目标区域。关键约束：覆盖所有员工；依据生日计算；不修改无关区域或其他空白单元格。
第4个得分点（0.10分）：不增加无记忆证据支持的操作。该得分点所依据的完整证据为：
第1条记忆（中期/知识）：在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146" s="50" t="str">
        <x:v>not_pass</x:v>
      </x:c>
      <x:c r="AG146" s="50" t="n">
        <x:v>0</x:v>
      </x:c>
    </x:row>
    <x:row r="147" ht="175.5" customHeight="1">
      <x:c r="A147" s="35" t="str">
        <x:v>4f07fbe9-70de-4927-a4d5-bb28bc12c52c_HQ1</x:v>
      </x:c>
      <x:c r="B147" s="36" t="str">
        <x:v>SG_TASK_4f07fbe9-70de-4927-a4d5-bb28bc12c52c</x:v>
      </x:c>
      <x:c r="C147" s="36" t="str">
        <x:v>4f07fbe9-70de-4927-a4d5-bb28bc12c52c</x:v>
      </x:c>
      <x:c r="D147" s="36" t="str">
        <x:v>Padding_Decimals_In_Formular.xlsx</x:v>
      </x:c>
      <x:c r="E147" s="36" t="str">
        <x:v>single_memory</x:v>
      </x:c>
      <x:c r="F147" s="36" t="str">
        <x:v>human_context_explicit</x:v>
      </x:c>
      <x:c r="G147" s="36" t="str">
        <x:v>train</x:v>
      </x:c>
      <x:c r="H147" s="36" t="str">
        <x:v>简单</x:v>
      </x:c>
      <x:c r="I147" s="36" t="str">
        <x:v>4f07fbe9-70de-4927-a4d5-bb28bc12c52c</x:v>
      </x:c>
      <x:c r="J147" s="36" t="str">
        <x:v>CTX_4f07fbe9-70de-4927-a4d5-bb28bc12c52c</x:v>
      </x:c>
      <x:c r="K147" s="36" t="str">
        <x:v>LTM_4f07fbe9-70de-4927-a4d5-bb28bc12c52c</x:v>
      </x:c>
      <x:c r="L147" s="36" t="str"/>
      <x:c r="M147" s="36" t="str"/>
      <x:c r="N147" s="36" t="str">
        <x:v>知识</x:v>
      </x:c>
      <x:c r="O147" s="36" t="str">
        <x:v>长期</x:v>
      </x:c>
      <x:c r="P147" s="36" t="str">
        <x:v>["libreoffice_calc"]</x:v>
      </x:c>
      <x:c r="Q147" s="36" t="str">
        <x:v>[{"step_id":"S1","app":"libreoffice_calc","action_key":"format_embedded_number_to_two_decimals","input_artifacts":["Padding_Decimals_In_Formular.xlsx"],"output_artifacts":["[\"Padding_Decimals_In_Formular.xlsx\",\"Padding_Decimals_In_Formular-Sheet1.csv\"]"],"depends_on":[]}]</x:v>
      </x:c>
      <x:c r="R147" s="36" t="str">
        <x:v>[]</x:v>
      </x:c>
      <x:c r="S147" s="36" t="str">
        <x:v>format_embedded_number_to_two_decimals</x:v>
      </x:c>
      <x:c r="T147" s="36" t="str">
        <x:v>Padding_Decimals_In_Formular.xlsx</x:v>
      </x:c>
      <x:c r="U147" s="36" t="str">
        <x:v>retrieve_and_execute</x:v>
      </x:c>
      <x:c r="V147" s="36" t="str">
        <x:v>[{"point_id":"P1","description":"主要处理方式与预期动作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x:v>
      </x:c>
      <x:c r="W147" s="36" t="str">
        <x:v>1.00</x:v>
      </x:c>
      <x:c r="X147" s="39" t="str">
        <x:v>Padding_Decimals_In_Formular.xlsx 里拼进文字的数字还是没有两位小数，按之前的方法修正。</x:v>
      </x:c>
      <x:c r="Y147"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147" s="39" t="str">
        <x:v>不适用：当前题目不存在需要用户进一步选择的候选记忆。</x:v>
      </x:c>
      <x:c r="AA147" s="39" t="str">
        <x:v>不适用：当前题目没有指定需要排除的冲突或禁止记忆。</x:v>
      </x:c>
      <x:c r="AB147" s="39" t="str">
        <x:v>应执行以下操作：在 Padding_Decimals_In_Formular.xlsx 中处理文本公式里的数值显示，使嵌入文本的数字也固定保留两位小数，而不是只修改原数值单元格的显示格式。</x:v>
      </x:c>
      <x:c r="AC147"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x:v>
      </x:c>
      <x:c r="AD147" s="39" t="str">
        <x:v>用户的完整请求是：“Padding_Decimals_In_Formular.xlsx 里拼进文字的数字还是没有两位小数，按之前的方法修正。”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x:v>
      </x:c>
      <x:c r="AE14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x:v>
      </x:c>
      <x:c r="AF147" s="50" t="str">
        <x:v>not_pass</x:v>
      </x:c>
      <x:c r="AG147" s="50" t="n">
        <x:v>0</x:v>
      </x:c>
    </x:row>
    <x:row r="148" ht="175.5" customHeight="1">
      <x:c r="A148" s="35" t="str">
        <x:v>4f07fbe9-70de-4927-a4d5-bb28bc12c52c_HQ2</x:v>
      </x:c>
      <x:c r="B148" s="36" t="str">
        <x:v>SG_TASK_4f07fbe9-70de-4927-a4d5-bb28bc12c52c</x:v>
      </x:c>
      <x:c r="C148" s="36" t="str">
        <x:v>4f07fbe9-70de-4927-a4d5-bb28bc12c52c</x:v>
      </x:c>
      <x:c r="D148" s="36" t="str">
        <x:v>Padding_Decimals_In_Formular.xlsx</x:v>
      </x:c>
      <x:c r="E148" s="36" t="str">
        <x:v>single_memory</x:v>
      </x:c>
      <x:c r="F148" s="36" t="str">
        <x:v>human_goal_oriented</x:v>
      </x:c>
      <x:c r="G148" s="36" t="str">
        <x:v>train</x:v>
      </x:c>
      <x:c r="H148" s="36" t="str">
        <x:v>中等</x:v>
      </x:c>
      <x:c r="I148" s="36" t="str">
        <x:v>4f07fbe9-70de-4927-a4d5-bb28bc12c52c</x:v>
      </x:c>
      <x:c r="J148" s="36" t="str">
        <x:v>CTX_4f07fbe9-70de-4927-a4d5-bb28bc12c52c</x:v>
      </x:c>
      <x:c r="K148" s="36" t="str">
        <x:v>LTM_4f07fbe9-70de-4927-a4d5-bb28bc12c52c</x:v>
      </x:c>
      <x:c r="L148" s="36" t="str"/>
      <x:c r="M148" s="36" t="str"/>
      <x:c r="N148" s="36" t="str">
        <x:v>知识</x:v>
      </x:c>
      <x:c r="O148" s="36" t="str">
        <x:v>长期</x:v>
      </x:c>
      <x:c r="P148" s="36" t="str">
        <x:v>["libreoffice_calc"]</x:v>
      </x:c>
      <x:c r="Q148" s="36" t="str">
        <x:v>[{"step_id":"S1","app":"libreoffice_calc","action_key":"format_embedded_number_to_two_decimals","input_artifacts":["Padding_Decimals_In_Formular.xlsx"],"output_artifacts":["[\"Padding_Decimals_In_Formular.xlsx\",\"Padding_Decimals_In_Formular-Sheet1.csv\"]"],"depends_on":[]}]</x:v>
      </x:c>
      <x:c r="R148" s="36" t="str">
        <x:v>[]</x:v>
      </x:c>
      <x:c r="S148" s="36" t="str">
        <x:v>format_embedded_number_to_two_decimals</x:v>
      </x:c>
      <x:c r="T148" s="36" t="str">
        <x:v>Padding_Decimals_In_Formular.xlsx</x:v>
      </x:c>
      <x:c r="U148" s="36" t="str">
        <x:v>retrieve_and_execute</x:v>
      </x:c>
      <x:c r="V148" s="36" t="str">
        <x:v>[{"point_id":"P1","description":"主要处理方式与预期动作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x:v>
      </x:c>
      <x:c r="W148" s="36" t="str">
        <x:v>1.00</x:v>
      </x:c>
      <x:c r="X148" s="39" t="str">
        <x:v>原单元格已经显示两位，但连接成文本后格式丢了，帮我让文本里的数也固定两位。</x:v>
      </x:c>
      <x:c r="Y148"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148" s="39" t="str">
        <x:v>不适用：当前题目不存在需要用户进一步选择的候选记忆。</x:v>
      </x:c>
      <x:c r="AA148" s="39" t="str">
        <x:v>不适用：当前题目没有指定需要排除的冲突或禁止记忆。</x:v>
      </x:c>
      <x:c r="AB148" s="39" t="str">
        <x:v>应执行以下操作：在 Padding_Decimals_In_Formular.xlsx 中处理文本公式里的数值显示，使嵌入文本的数字也固定保留两位小数，而不是只修改原数值单元格的显示格式。</x:v>
      </x:c>
      <x:c r="AC148"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x:v>
      </x:c>
      <x:c r="AD148" s="39" t="str">
        <x:v>用户的完整请求是：“原单元格已经显示两位，但连接成文本后格式丢了，帮我让文本里的数也固定两位。”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x:v>
      </x:c>
      <x:c r="AE14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x:v>
      </x:c>
      <x:c r="AF148" s="50" t="str">
        <x:v>not_pass</x:v>
      </x:c>
      <x:c r="AG148" s="50" t="n">
        <x:v>0</x:v>
      </x:c>
    </x:row>
    <x:row r="149" ht="175.5" customHeight="1">
      <x:c r="A149" s="35" t="str">
        <x:v>4f07fbe9-70de-4927-a4d5-bb28bc12c52c_HQ3</x:v>
      </x:c>
      <x:c r="B149" s="36" t="str">
        <x:v>SG_TASK_4f07fbe9-70de-4927-a4d5-bb28bc12c52c</x:v>
      </x:c>
      <x:c r="C149" s="36" t="str">
        <x:v>4f07fbe9-70de-4927-a4d5-bb28bc12c52c</x:v>
      </x:c>
      <x:c r="D149" s="36" t="str">
        <x:v>Padding_Decimals_In_Formular.xlsx</x:v>
      </x:c>
      <x:c r="E149" s="36" t="str">
        <x:v>single_memory</x:v>
      </x:c>
      <x:c r="F149" s="36" t="str">
        <x:v>contextual_ellipsis</x:v>
      </x:c>
      <x:c r="G149" s="36" t="str">
        <x:v>train</x:v>
      </x:c>
      <x:c r="H149" s="36" t="str">
        <x:v>中等</x:v>
      </x:c>
      <x:c r="I149" s="36" t="str">
        <x:v>4f07fbe9-70de-4927-a4d5-bb28bc12c52c</x:v>
      </x:c>
      <x:c r="J149" s="36" t="str">
        <x:v>CTX_4f07fbe9-70de-4927-a4d5-bb28bc12c52c</x:v>
      </x:c>
      <x:c r="K149" s="36" t="str">
        <x:v>LTM_4f07fbe9-70de-4927-a4d5-bb28bc12c52c</x:v>
      </x:c>
      <x:c r="L149" s="36" t="str"/>
      <x:c r="M149" s="36" t="str"/>
      <x:c r="N149" s="36" t="str">
        <x:v>知识</x:v>
      </x:c>
      <x:c r="O149" s="36" t="str">
        <x:v>长期</x:v>
      </x:c>
      <x:c r="P149" s="36" t="str">
        <x:v>["libreoffice_calc"]</x:v>
      </x:c>
      <x:c r="Q149" s="36" t="str">
        <x:v>[{"step_id":"S1","app":"libreoffice_calc","action_key":"format_embedded_number_to_two_decimals","input_artifacts":["Padding_Decimals_In_Formular.xlsx"],"output_artifacts":["[\"Padding_Decimals_In_Formular.xlsx\",\"Padding_Decimals_In_Formular-Sheet1.csv\"]"],"depends_on":[]}]</x:v>
      </x:c>
      <x:c r="R149" s="36" t="str">
        <x:v>[]</x:v>
      </x:c>
      <x:c r="S149" s="36" t="str">
        <x:v>format_embedded_number_to_two_decimals</x:v>
      </x:c>
      <x:c r="T149" s="36" t="str">
        <x:v>Padding_Decimals_In_Formular.xlsx</x:v>
      </x:c>
      <x:c r="U149" s="36" t="str">
        <x:v>retrieve_and_execute</x:v>
      </x:c>
      <x:c r="V149" s="36" t="str">
        <x:v>[{"point_id":"P1","description":"主要处理方式与预期动作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x:v>
      </x:c>
      <x:c r="W149" s="36" t="str">
        <x:v>1.00</x:v>
      </x:c>
      <x:c r="X149" s="39" t="str">
        <x:v>当前表继续处理公式拼接的显示问题，只修需要的结果区域。</x:v>
      </x:c>
      <x:c r="Y149"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149" s="39" t="str">
        <x:v>不适用：当前题目不存在需要用户进一步选择的候选记忆。</x:v>
      </x:c>
      <x:c r="AA149" s="39" t="str">
        <x:v>不适用：当前题目没有指定需要排除的冲突或禁止记忆。</x:v>
      </x:c>
      <x:c r="AB149" s="39" t="str">
        <x:v>应执行以下操作：在 Padding_Decimals_In_Formular.xlsx 中处理文本公式里的数值显示，使嵌入文本的数字也固定保留两位小数，而不是只修改原数值单元格的显示格式。</x:v>
      </x:c>
      <x:c r="AC149"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x:v>
      </x:c>
      <x:c r="AD149" s="39" t="str">
        <x:v>用户的完整请求是：“当前表继续处理公式拼接的显示问题，只修需要的结果区域。”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x:v>
      </x:c>
      <x:c r="AE14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x:v>
      </x:c>
      <x:c r="AF149" s="50" t="str">
        <x:v>not_pass</x:v>
      </x:c>
      <x:c r="AG149" s="50" t="n">
        <x:v>0</x:v>
      </x:c>
    </x:row>
    <x:row r="150" ht="175.5" customHeight="1">
      <x:c r="A150" s="35" t="str">
        <x:v>4f07fbe9-70de-4927-a4d5-bb28bc12c52c_HQ4</x:v>
      </x:c>
      <x:c r="B150" s="36" t="str">
        <x:v>SG_TASK_4f07fbe9-70de-4927-a4d5-bb28bc12c52c</x:v>
      </x:c>
      <x:c r="C150" s="36" t="str">
        <x:v>4f07fbe9-70de-4927-a4d5-bb28bc12c52c</x:v>
      </x:c>
      <x:c r="D150" s="36" t="str">
        <x:v>Padding_Decimals_In_Formular.xlsx</x:v>
      </x:c>
      <x:c r="E150" s="36" t="str">
        <x:v>single_memory</x:v>
      </x:c>
      <x:c r="F150" s="36" t="str">
        <x:v>low_overlap_paraphrase</x:v>
      </x:c>
      <x:c r="G150" s="36" t="str">
        <x:v>train</x:v>
      </x:c>
      <x:c r="H150" s="36" t="str">
        <x:v>困难</x:v>
      </x:c>
      <x:c r="I150" s="36" t="str">
        <x:v>4f07fbe9-70de-4927-a4d5-bb28bc12c52c</x:v>
      </x:c>
      <x:c r="J150" s="36" t="str">
        <x:v>CTX_4f07fbe9-70de-4927-a4d5-bb28bc12c52c</x:v>
      </x:c>
      <x:c r="K150" s="36" t="str">
        <x:v>LTM_4f07fbe9-70de-4927-a4d5-bb28bc12c52c</x:v>
      </x:c>
      <x:c r="L150" s="36" t="str"/>
      <x:c r="M150" s="36" t="str"/>
      <x:c r="N150" s="36" t="str">
        <x:v>知识</x:v>
      </x:c>
      <x:c r="O150" s="36" t="str">
        <x:v>长期</x:v>
      </x:c>
      <x:c r="P150" s="36" t="str">
        <x:v>["libreoffice_calc"]</x:v>
      </x:c>
      <x:c r="Q150" s="36" t="str">
        <x:v>[{"step_id":"S1","app":"libreoffice_calc","action_key":"format_embedded_number_to_two_decimals","input_artifacts":["Padding_Decimals_In_Formular.xlsx"],"output_artifacts":["[\"Padding_Decimals_In_Formular.xlsx\",\"Padding_Decimals_In_Formular-Sheet1.csv\"]"],"depends_on":[]}]</x:v>
      </x:c>
      <x:c r="R150" s="36" t="str">
        <x:v>[]</x:v>
      </x:c>
      <x:c r="S150" s="36" t="str">
        <x:v>format_embedded_number_to_two_decimals</x:v>
      </x:c>
      <x:c r="T150" s="36" t="str">
        <x:v>Padding_Decimals_In_Formular.xlsx</x:v>
      </x:c>
      <x:c r="U150" s="36" t="str">
        <x:v>retrieve_and_execute</x:v>
      </x:c>
      <x:c r="V150" s="36" t="str">
        <x:v>[{"point_id":"P1","description":"主要处理方式与预期动作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x:v>
      </x:c>
      <x:c r="W150" s="36" t="str">
        <x:v>1.00</x:v>
      </x:c>
      <x:c r="X150" s="39" t="str">
        <x:v>我想让说明文字中的金额看起来和原数值一样整齐，不能只改源单元格格式。</x:v>
      </x:c>
      <x:c r="Y150"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150" s="39" t="str">
        <x:v>不适用：当前题目不存在需要用户进一步选择的候选记忆。</x:v>
      </x:c>
      <x:c r="AA150" s="39" t="str">
        <x:v>不适用：当前题目没有指定需要排除的冲突或禁止记忆。</x:v>
      </x:c>
      <x:c r="AB150" s="39" t="str">
        <x:v>应执行以下操作：在 Padding_Decimals_In_Formular.xlsx 中处理文本公式里的数值显示，使嵌入文本的数字也固定保留两位小数，而不是只修改原数值单元格的显示格式。</x:v>
      </x:c>
      <x:c r="AC150"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x:v>
      </x:c>
      <x:c r="AD150" s="39" t="str">
        <x:v>用户的完整请求是：“我想让说明文字中的金额看起来和原数值一样整齐，不能只改源单元格格式。”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x:v>
      </x:c>
      <x:c r="AE15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x:v>
      </x:c>
      <x:c r="AF150" s="50" t="str">
        <x:v>not_pass</x:v>
      </x:c>
      <x:c r="AG150" s="50" t="n">
        <x:v>0</x:v>
      </x:c>
    </x:row>
    <x:row r="151" ht="175.5" customHeight="1">
      <x:c r="A151" s="35" t="str">
        <x:v>4f07fbe9-70de-4927-a4d5-bb28bc12c52c_HQ5</x:v>
      </x:c>
      <x:c r="B151" s="36" t="str">
        <x:v>SG_TASK_4f07fbe9-70de-4927-a4d5-bb28bc12c52c</x:v>
      </x:c>
      <x:c r="C151" s="36" t="str">
        <x:v>4f07fbe9-70de-4927-a4d5-bb28bc12c52c</x:v>
      </x:c>
      <x:c r="D151" s="36" t="str">
        <x:v>Padding_Decimals_In_Formular.xlsx</x:v>
      </x:c>
      <x:c r="E151" s="36" t="str">
        <x:v>single_memory</x:v>
      </x:c>
      <x:c r="F151" s="36" t="str">
        <x:v>human_constraint_emphasis</x:v>
      </x:c>
      <x:c r="G151" s="36" t="str">
        <x:v>train</x:v>
      </x:c>
      <x:c r="H151" s="36" t="str">
        <x:v>困难</x:v>
      </x:c>
      <x:c r="I151" s="36" t="str">
        <x:v>4f07fbe9-70de-4927-a4d5-bb28bc12c52c</x:v>
      </x:c>
      <x:c r="J151" s="36" t="str">
        <x:v>CTX_4f07fbe9-70de-4927-a4d5-bb28bc12c52c</x:v>
      </x:c>
      <x:c r="K151" s="36" t="str">
        <x:v>LTM_4f07fbe9-70de-4927-a4d5-bb28bc12c52c</x:v>
      </x:c>
      <x:c r="L151" s="36" t="str"/>
      <x:c r="M151" s="36" t="str"/>
      <x:c r="N151" s="36" t="str">
        <x:v>知识</x:v>
      </x:c>
      <x:c r="O151" s="36" t="str">
        <x:v>长期</x:v>
      </x:c>
      <x:c r="P151" s="36" t="str">
        <x:v>["libreoffice_calc"]</x:v>
      </x:c>
      <x:c r="Q151" s="36" t="str">
        <x:v>[{"step_id":"S1","app":"libreoffice_calc","action_key":"format_embedded_number_to_two_decimals","input_artifacts":["Padding_Decimals_In_Formular.xlsx"],"output_artifacts":["[\"Padding_Decimals_In_Formular.xlsx\",\"Padding_Decimals_In_Formular-Sheet1.csv\"]"],"depends_on":[]}]</x:v>
      </x:c>
      <x:c r="R151" s="36" t="str">
        <x:v>[]</x:v>
      </x:c>
      <x:c r="S151" s="36" t="str">
        <x:v>format_embedded_number_to_two_decimals</x:v>
      </x:c>
      <x:c r="T151" s="36" t="str">
        <x:v>Padding_Decimals_In_Formular.xlsx</x:v>
      </x:c>
      <x:c r="U151" s="36" t="str">
        <x:v>retrieve_and_execute</x:v>
      </x:c>
      <x:c r="V151" s="36" t="str">
        <x:v>[{"point_id":"P1","description":"主要处理方式与预期动作 format_embedded_number_to_two_decimals 语义一致","weight":0.4,"evidence_memory_ids":["LTM_4f07fbe9-70de-4927-a4d5-bb28bc12c52c"]},{"point_id":"P2","description":"正确定位目标对象 Padding_Decimals_In_Formular.xlsx","weight":0.2,"evidence_memory_ids":["LTM_4f07fbe9-70de-4927-a4d5-bb28bc12c52c"]},{"point_id":"P3","description":"满足关键条件：嵌入文本的数字必须保留两位小数；不修改无关区域","weight":0.3,"evidence_memory_ids":["LTM_4f07fbe9-70de-4927-a4d5-bb28bc12c52c"]},{"point_id":"P4","description":"不增加无记忆证据支持的操作","weight":0.1,"evidence_memory_ids":["LTM_4f07fbe9-70de-4927-a4d5-bb28bc12c52c"]}]</x:v>
      </x:c>
      <x:c r="W151" s="36" t="str">
        <x:v>1.00</x:v>
      </x:c>
      <x:c r="X151" s="39" t="str">
        <x:v>文本公式里的数字补足两位小数，别影响其他空白和无关单元格。</x:v>
      </x:c>
      <x:c r="Y151"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151" s="39" t="str">
        <x:v>不适用：当前题目不存在需要用户进一步选择的候选记忆。</x:v>
      </x:c>
      <x:c r="AA151" s="39" t="str">
        <x:v>不适用：当前题目没有指定需要排除的冲突或禁止记忆。</x:v>
      </x:c>
      <x:c r="AB151" s="39" t="str">
        <x:v>应执行以下操作：在 Padding_Decimals_In_Formular.xlsx 中处理文本公式里的数值显示，使嵌入文本的数字也固定保留两位小数，而不是只修改原数值单元格的显示格式。</x:v>
      </x:c>
      <x:c r="AC151"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x:v>
      </x:c>
      <x:c r="AD151" s="39" t="str">
        <x:v>用户的完整请求是：“文本公式里的数字补足两位小数，别影响其他空白和无关单元格。” 第1个当前上下文：Padding_Decimals_In_Formular.xlsx 已在 LibreOffice Calc 中打开。 当前请求是在已有办公上下文中继续、复用或重新强调既有处理方式。与该请求唯一对应的完整必需记忆如下：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Padding_Decimals_In_Formular.xlsx 中处理文本公式里的数值显示，使嵌入文本的数字也固定保留两位小数，而不是只修改原数值单元格的显示格式。”</x:v>
      </x:c>
      <x:c r="AE15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第2个得分点（0.20分）：正确定位目标对象 Padding_Decimals_In_Formular.xlsx。该得分点所依据的完整证据为：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第3个得分点（0.30分）：满足关键条件：嵌入文本的数字必须保留两位小数；不修改无关区域。该得分点所依据的完整证据为：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第4个得分点（0.10分）：不增加无记忆证据支持的操作。该得分点所依据的完整证据为：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人工复审时，应依据模型最终给出的信息和实际操作是否满足上述每个得分点分别给分；只命中记忆 ID 但没有形成对应结论不能获得该结论分，形成了正确结论但表达方式不同则不应扣分。</x:v>
      </x:c>
      <x:c r="AF151" s="50" t="str">
        <x:v>not_pass</x:v>
      </x:c>
      <x:c r="AG151" s="50" t="n">
        <x:v>0</x:v>
      </x:c>
    </x:row>
    <x:row r="152" ht="202.5" customHeight="1">
      <x:c r="A152" s="35" t="str">
        <x:v>51719eea-10bc-4246-a428-ac7c433dd4b3_HQ1</x:v>
      </x:c>
      <x:c r="B152" s="36" t="str">
        <x:v>SG_TASK_51719eea-10bc-4246-a428-ac7c433dd4b3</x:v>
      </x:c>
      <x:c r="C152" s="36" t="str">
        <x:v>51719eea-10bc-4246-a428-ac7c433dd4b3</x:v>
      </x:c>
      <x:c r="D152" s="36" t="str">
        <x:v>BoomerangSales.xlsx</x:v>
      </x:c>
      <x:c r="E152" s="36" t="str">
        <x:v>single_memory</x:v>
      </x:c>
      <x:c r="F152" s="36" t="str">
        <x:v>human_context_explicit</x:v>
      </x:c>
      <x:c r="G152" s="36" t="str">
        <x:v>train</x:v>
      </x:c>
      <x:c r="H152" s="36" t="str">
        <x:v>简单</x:v>
      </x:c>
      <x:c r="I152" s="36" t="str">
        <x:v>51719eea-10bc-4246-a428-ac7c433dd4b3</x:v>
      </x:c>
      <x:c r="J152" s="36" t="str">
        <x:v>CTX_51719eea-10bc-4246-a428-ac7c433dd4b3</x:v>
      </x:c>
      <x:c r="K152" s="36" t="str">
        <x:v>STM_51719eea-10bc-4246-a428-ac7c433dd4b3</x:v>
      </x:c>
      <x:c r="L152" s="36" t="str"/>
      <x:c r="M152" s="36" t="str">
        <x:v>MTM_3a7c8185-25c1-4941-bd7b-96e823c9f21f</x:v>
      </x:c>
      <x:c r="N152" s="36" t="str">
        <x:v>工作流程</x:v>
      </x:c>
      <x:c r="O152" s="36" t="str">
        <x:v>短期</x:v>
      </x:c>
      <x:c r="P152" s="36" t="str">
        <x:v>["libreoffice_calc"]</x:v>
      </x:c>
      <x:c r="Q152" s="36" t="str">
        <x:v>[{"step_id":"S1","app":"libreoffice_calc","action_key":"calculate_revenue_and_create_product_pivot","input_artifacts":["BoomerangSales.xlsx"],"output_artifacts":["BoomerangSales.xlsx"],"depends_on":[]}]</x:v>
      </x:c>
      <x:c r="R152" s="36" t="str">
        <x:v>[]</x:v>
      </x:c>
      <x:c r="S152" s="36" t="str">
        <x:v>calculate_revenue_and_create_product_pivot</x:v>
      </x:c>
      <x:c r="T152" s="36" t="str">
        <x:v>BoomerangSales.xlsx</x:v>
      </x:c>
      <x:c r="U152" s="36" t="str">
        <x:v>retrieve_and_execute</x:v>
      </x:c>
      <x:c r="V152" s="36" t="str">
        <x:v>[{"point_id":"P1","description":"主要处理方式与预期动作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x:v>
      </x:c>
      <x:c r="W152" s="36" t="str">
        <x:v>1.00</x:v>
      </x:c>
      <x:c r="X152" s="39" t="str">
        <x:v>BoomerangSales.xlsx 这次按零售价、数量和折扣算 Revenue，再照之前做产品收入透视表。</x:v>
      </x:c>
      <x:c r="Y152"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152" s="39" t="str">
        <x:v>不适用：当前题目不存在需要用户进一步选择的候选记忆。</x:v>
      </x:c>
      <x:c r="AA152" s="39" t="str">
        <x:v>第1条记忆（中期/工作流程）：在 BoomerangSales.xlsx 中先按 A 列升序排列数据，再创建折线图，以 Date Time 为横轴、quantity 为纵轴。关键约束：必须先排序再作图；A 列升序；横轴 Date Time，纵轴 quantity。</x:v>
      </x:c>
      <x:c r="AB152" s="39" t="str">
        <x:v>应执行以下操作：在 BoomerangSales.xlsx 中依据 Retail Price 表的产品价格，并结合数量和折扣计算 Revenue 新列；随后在 Sheet2 创建按产品汇总收入的数据透视表。</x:v>
      </x:c>
      <x:c r="AC152"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152" s="39" t="str">
        <x:v>用户的完整请求是：“BoomerangSales.xlsx 这次按零售价、数量和折扣算 Revenue，再照之前做产品收入透视表。”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x:v>
      </x:c>
      <x:c r="AE15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152" s="50" t="str">
        <x:v>not_pass</x:v>
      </x:c>
      <x:c r="AG152" s="50" t="n">
        <x:v>0</x:v>
      </x:c>
    </x:row>
    <x:row r="153" ht="202.5" customHeight="1">
      <x:c r="A153" s="35" t="str">
        <x:v>51719eea-10bc-4246-a428-ac7c433dd4b3_HQ2</x:v>
      </x:c>
      <x:c r="B153" s="36" t="str">
        <x:v>SG_TASK_51719eea-10bc-4246-a428-ac7c433dd4b3</x:v>
      </x:c>
      <x:c r="C153" s="36" t="str">
        <x:v>51719eea-10bc-4246-a428-ac7c433dd4b3</x:v>
      </x:c>
      <x:c r="D153" s="36" t="str">
        <x:v>BoomerangSales.xlsx</x:v>
      </x:c>
      <x:c r="E153" s="36" t="str">
        <x:v>single_memory</x:v>
      </x:c>
      <x:c r="F153" s="36" t="str">
        <x:v>human_goal_oriented</x:v>
      </x:c>
      <x:c r="G153" s="36" t="str">
        <x:v>train</x:v>
      </x:c>
      <x:c r="H153" s="36" t="str">
        <x:v>中等</x:v>
      </x:c>
      <x:c r="I153" s="36" t="str">
        <x:v>51719eea-10bc-4246-a428-ac7c433dd4b3</x:v>
      </x:c>
      <x:c r="J153" s="36" t="str">
        <x:v>CTX_51719eea-10bc-4246-a428-ac7c433dd4b3</x:v>
      </x:c>
      <x:c r="K153" s="36" t="str">
        <x:v>STM_51719eea-10bc-4246-a428-ac7c433dd4b3</x:v>
      </x:c>
      <x:c r="L153" s="36" t="str"/>
      <x:c r="M153" s="36" t="str">
        <x:v>MTM_3a7c8185-25c1-4941-bd7b-96e823c9f21f</x:v>
      </x:c>
      <x:c r="N153" s="36" t="str">
        <x:v>工作流程</x:v>
      </x:c>
      <x:c r="O153" s="36" t="str">
        <x:v>短期</x:v>
      </x:c>
      <x:c r="P153" s="36" t="str">
        <x:v>["libreoffice_calc"]</x:v>
      </x:c>
      <x:c r="Q153" s="36" t="str">
        <x:v>[{"step_id":"S1","app":"libreoffice_calc","action_key":"calculate_revenue_and_create_product_pivot","input_artifacts":["BoomerangSales.xlsx"],"output_artifacts":["BoomerangSales.xlsx"],"depends_on":[]}]</x:v>
      </x:c>
      <x:c r="R153" s="36" t="str">
        <x:v>[]</x:v>
      </x:c>
      <x:c r="S153" s="36" t="str">
        <x:v>calculate_revenue_and_create_product_pivot</x:v>
      </x:c>
      <x:c r="T153" s="36" t="str">
        <x:v>BoomerangSales.xlsx</x:v>
      </x:c>
      <x:c r="U153" s="36" t="str">
        <x:v>retrieve_and_execute</x:v>
      </x:c>
      <x:c r="V153" s="36" t="str">
        <x:v>[{"point_id":"P1","description":"主要处理方式与预期动作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x:v>
      </x:c>
      <x:c r="W153" s="36" t="str">
        <x:v>1.00</x:v>
      </x:c>
      <x:c r="X153" s="39" t="str">
        <x:v>我想知道每种产品实际带来多少收入，先从 Retail Price 取价算明细，再在 Sheet2 汇总。</x:v>
      </x:c>
      <x:c r="Y153"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153" s="39" t="str">
        <x:v>不适用：当前题目不存在需要用户进一步选择的候选记忆。</x:v>
      </x:c>
      <x:c r="AA153" s="39" t="str">
        <x:v>第1条记忆（中期/工作流程）：在 BoomerangSales.xlsx 中先按 A 列升序排列数据，再创建折线图，以 Date Time 为横轴、quantity 为纵轴。关键约束：必须先排序再作图；A 列升序；横轴 Date Time，纵轴 quantity。</x:v>
      </x:c>
      <x:c r="AB153" s="39" t="str">
        <x:v>应执行以下操作：在 BoomerangSales.xlsx 中依据 Retail Price 表的产品价格，并结合数量和折扣计算 Revenue 新列；随后在 Sheet2 创建按产品汇总收入的数据透视表。</x:v>
      </x:c>
      <x:c r="AC153"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153" s="39" t="str">
        <x:v>用户的完整请求是：“我想知道每种产品实际带来多少收入，先从 Retail Price 取价算明细，再在 Sheet2 汇总。”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x:v>
      </x:c>
      <x:c r="AE15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153" s="50" t="str">
        <x:v>not_pass</x:v>
      </x:c>
      <x:c r="AG153" s="50" t="n">
        <x:v>0</x:v>
      </x:c>
    </x:row>
    <x:row r="154" ht="202.5" customHeight="1">
      <x:c r="A154" s="35" t="str">
        <x:v>51719eea-10bc-4246-a428-ac7c433dd4b3_HQ3</x:v>
      </x:c>
      <x:c r="B154" s="36" t="str">
        <x:v>SG_TASK_51719eea-10bc-4246-a428-ac7c433dd4b3</x:v>
      </x:c>
      <x:c r="C154" s="36" t="str">
        <x:v>51719eea-10bc-4246-a428-ac7c433dd4b3</x:v>
      </x:c>
      <x:c r="D154" s="36" t="str">
        <x:v>BoomerangSales.xlsx</x:v>
      </x:c>
      <x:c r="E154" s="36" t="str">
        <x:v>single_memory</x:v>
      </x:c>
      <x:c r="F154" s="36" t="str">
        <x:v>contextual_ellipsis</x:v>
      </x:c>
      <x:c r="G154" s="36" t="str">
        <x:v>train</x:v>
      </x:c>
      <x:c r="H154" s="36" t="str">
        <x:v>中等</x:v>
      </x:c>
      <x:c r="I154" s="36" t="str">
        <x:v>51719eea-10bc-4246-a428-ac7c433dd4b3</x:v>
      </x:c>
      <x:c r="J154" s="36" t="str">
        <x:v>CTX_51719eea-10bc-4246-a428-ac7c433dd4b3</x:v>
      </x:c>
      <x:c r="K154" s="36" t="str">
        <x:v>STM_51719eea-10bc-4246-a428-ac7c433dd4b3</x:v>
      </x:c>
      <x:c r="L154" s="36" t="str"/>
      <x:c r="M154" s="36" t="str">
        <x:v>MTM_3a7c8185-25c1-4941-bd7b-96e823c9f21f</x:v>
      </x:c>
      <x:c r="N154" s="36" t="str">
        <x:v>工作流程</x:v>
      </x:c>
      <x:c r="O154" s="36" t="str">
        <x:v>短期</x:v>
      </x:c>
      <x:c r="P154" s="36" t="str">
        <x:v>["libreoffice_calc"]</x:v>
      </x:c>
      <x:c r="Q154" s="36" t="str">
        <x:v>[{"step_id":"S1","app":"libreoffice_calc","action_key":"calculate_revenue_and_create_product_pivot","input_artifacts":["BoomerangSales.xlsx"],"output_artifacts":["BoomerangSales.xlsx"],"depends_on":[]}]</x:v>
      </x:c>
      <x:c r="R154" s="36" t="str">
        <x:v>[]</x:v>
      </x:c>
      <x:c r="S154" s="36" t="str">
        <x:v>calculate_revenue_and_create_product_pivot</x:v>
      </x:c>
      <x:c r="T154" s="36" t="str">
        <x:v>BoomerangSales.xlsx</x:v>
      </x:c>
      <x:c r="U154" s="36" t="str">
        <x:v>retrieve_and_execute</x:v>
      </x:c>
      <x:c r="V154" s="36" t="str">
        <x:v>[{"point_id":"P1","description":"主要处理方式与预期动作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x:v>
      </x:c>
      <x:c r="W154" s="36" t="str">
        <x:v>1.00</x:v>
      </x:c>
      <x:c r="X154" s="39" t="str">
        <x:v>当前 Boomerang 表继续做收入列和产品 Pivot，不是画时间趋势图。</x:v>
      </x:c>
      <x:c r="Y154"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154" s="39" t="str">
        <x:v>不适用：当前题目不存在需要用户进一步选择的候选记忆。</x:v>
      </x:c>
      <x:c r="AA154" s="39" t="str">
        <x:v>第1条记忆（中期/工作流程）：在 BoomerangSales.xlsx 中先按 A 列升序排列数据，再创建折线图，以 Date Time 为横轴、quantity 为纵轴。关键约束：必须先排序再作图；A 列升序；横轴 Date Time，纵轴 quantity。</x:v>
      </x:c>
      <x:c r="AB154" s="39" t="str">
        <x:v>应执行以下操作：在 BoomerangSales.xlsx 中依据 Retail Price 表的产品价格，并结合数量和折扣计算 Revenue 新列；随后在 Sheet2 创建按产品汇总收入的数据透视表。</x:v>
      </x:c>
      <x:c r="AC154"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154" s="39" t="str">
        <x:v>用户的完整请求是：“当前 Boomerang 表继续做收入列和产品 Pivot，不是画时间趋势图。”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x:v>
      </x:c>
      <x:c r="AE15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154" s="50" t="str">
        <x:v>not_pass</x:v>
      </x:c>
      <x:c r="AG154" s="50" t="n">
        <x:v>0</x:v>
      </x:c>
    </x:row>
    <x:row r="155" ht="202.5" customHeight="1">
      <x:c r="A155" s="35" t="str">
        <x:v>51719eea-10bc-4246-a428-ac7c433dd4b3_HQ4</x:v>
      </x:c>
      <x:c r="B155" s="36" t="str">
        <x:v>SG_TASK_51719eea-10bc-4246-a428-ac7c433dd4b3</x:v>
      </x:c>
      <x:c r="C155" s="36" t="str">
        <x:v>51719eea-10bc-4246-a428-ac7c433dd4b3</x:v>
      </x:c>
      <x:c r="D155" s="36" t="str">
        <x:v>BoomerangSales.xlsx</x:v>
      </x:c>
      <x:c r="E155" s="36" t="str">
        <x:v>single_memory</x:v>
      </x:c>
      <x:c r="F155" s="36" t="str">
        <x:v>low_overlap_paraphrase</x:v>
      </x:c>
      <x:c r="G155" s="36" t="str">
        <x:v>train</x:v>
      </x:c>
      <x:c r="H155" s="36" t="str">
        <x:v>困难</x:v>
      </x:c>
      <x:c r="I155" s="36" t="str">
        <x:v>51719eea-10bc-4246-a428-ac7c433dd4b3</x:v>
      </x:c>
      <x:c r="J155" s="36" t="str">
        <x:v>CTX_51719eea-10bc-4246-a428-ac7c433dd4b3</x:v>
      </x:c>
      <x:c r="K155" s="36" t="str">
        <x:v>STM_51719eea-10bc-4246-a428-ac7c433dd4b3</x:v>
      </x:c>
      <x:c r="L155" s="36" t="str"/>
      <x:c r="M155" s="36" t="str">
        <x:v>MTM_3a7c8185-25c1-4941-bd7b-96e823c9f21f</x:v>
      </x:c>
      <x:c r="N155" s="36" t="str">
        <x:v>工作流程</x:v>
      </x:c>
      <x:c r="O155" s="36" t="str">
        <x:v>短期</x:v>
      </x:c>
      <x:c r="P155" s="36" t="str">
        <x:v>["libreoffice_calc"]</x:v>
      </x:c>
      <x:c r="Q155" s="36" t="str">
        <x:v>[{"step_id":"S1","app":"libreoffice_calc","action_key":"calculate_revenue_and_create_product_pivot","input_artifacts":["BoomerangSales.xlsx"],"output_artifacts":["BoomerangSales.xlsx"],"depends_on":[]}]</x:v>
      </x:c>
      <x:c r="R155" s="36" t="str">
        <x:v>[]</x:v>
      </x:c>
      <x:c r="S155" s="36" t="str">
        <x:v>calculate_revenue_and_create_product_pivot</x:v>
      </x:c>
      <x:c r="T155" s="36" t="str">
        <x:v>BoomerangSales.xlsx</x:v>
      </x:c>
      <x:c r="U155" s="36" t="str">
        <x:v>retrieve_and_execute</x:v>
      </x:c>
      <x:c r="V155" s="36" t="str">
        <x:v>[{"point_id":"P1","description":"主要处理方式与预期动作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x:v>
      </x:c>
      <x:c r="W155" s="36" t="str">
        <x:v>1.00</x:v>
      </x:c>
      <x:c r="X155" s="39" t="str">
        <x:v>为了看产品贡献，请把成交数量和折扣一起计入收入，再按商品聚合。</x:v>
      </x:c>
      <x:c r="Y155"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155" s="39" t="str">
        <x:v>不适用：当前题目不存在需要用户进一步选择的候选记忆。</x:v>
      </x:c>
      <x:c r="AA155" s="39" t="str">
        <x:v>第1条记忆（中期/工作流程）：在 BoomerangSales.xlsx 中先按 A 列升序排列数据，再创建折线图，以 Date Time 为横轴、quantity 为纵轴。关键约束：必须先排序再作图；A 列升序；横轴 Date Time，纵轴 quantity。</x:v>
      </x:c>
      <x:c r="AB155" s="39" t="str">
        <x:v>应执行以下操作：在 BoomerangSales.xlsx 中依据 Retail Price 表的产品价格，并结合数量和折扣计算 Revenue 新列；随后在 Sheet2 创建按产品汇总收入的数据透视表。</x:v>
      </x:c>
      <x:c r="AC155"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155" s="39" t="str">
        <x:v>用户的完整请求是：“为了看产品贡献，请把成交数量和折扣一起计入收入，再按商品聚合。”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x:v>
      </x:c>
      <x:c r="AE15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155" s="50" t="str">
        <x:v>not_pass</x:v>
      </x:c>
      <x:c r="AG155" s="50" t="n">
        <x:v>0</x:v>
      </x:c>
    </x:row>
    <x:row r="156" ht="202.5" customHeight="1">
      <x:c r="A156" s="35" t="str">
        <x:v>51719eea-10bc-4246-a428-ac7c433dd4b3_HQ5</x:v>
      </x:c>
      <x:c r="B156" s="36" t="str">
        <x:v>SG_TASK_51719eea-10bc-4246-a428-ac7c433dd4b3</x:v>
      </x:c>
      <x:c r="C156" s="36" t="str">
        <x:v>51719eea-10bc-4246-a428-ac7c433dd4b3</x:v>
      </x:c>
      <x:c r="D156" s="36" t="str">
        <x:v>BoomerangSales.xlsx</x:v>
      </x:c>
      <x:c r="E156" s="36" t="str">
        <x:v>single_memory</x:v>
      </x:c>
      <x:c r="F156" s="36" t="str">
        <x:v>human_constraint_emphasis</x:v>
      </x:c>
      <x:c r="G156" s="36" t="str">
        <x:v>train</x:v>
      </x:c>
      <x:c r="H156" s="36" t="str">
        <x:v>困难</x:v>
      </x:c>
      <x:c r="I156" s="36" t="str">
        <x:v>51719eea-10bc-4246-a428-ac7c433dd4b3</x:v>
      </x:c>
      <x:c r="J156" s="36" t="str">
        <x:v>CTX_51719eea-10bc-4246-a428-ac7c433dd4b3</x:v>
      </x:c>
      <x:c r="K156" s="36" t="str">
        <x:v>STM_51719eea-10bc-4246-a428-ac7c433dd4b3</x:v>
      </x:c>
      <x:c r="L156" s="36" t="str"/>
      <x:c r="M156" s="36" t="str">
        <x:v>MTM_3a7c8185-25c1-4941-bd7b-96e823c9f21f</x:v>
      </x:c>
      <x:c r="N156" s="36" t="str">
        <x:v>工作流程</x:v>
      </x:c>
      <x:c r="O156" s="36" t="str">
        <x:v>短期</x:v>
      </x:c>
      <x:c r="P156" s="36" t="str">
        <x:v>["libreoffice_calc"]</x:v>
      </x:c>
      <x:c r="Q156" s="36" t="str">
        <x:v>[{"step_id":"S1","app":"libreoffice_calc","action_key":"calculate_revenue_and_create_product_pivot","input_artifacts":["BoomerangSales.xlsx"],"output_artifacts":["BoomerangSales.xlsx"],"depends_on":[]}]</x:v>
      </x:c>
      <x:c r="R156" s="36" t="str">
        <x:v>[]</x:v>
      </x:c>
      <x:c r="S156" s="36" t="str">
        <x:v>calculate_revenue_and_create_product_pivot</x:v>
      </x:c>
      <x:c r="T156" s="36" t="str">
        <x:v>BoomerangSales.xlsx</x:v>
      </x:c>
      <x:c r="U156" s="36" t="str">
        <x:v>retrieve_and_execute</x:v>
      </x:c>
      <x:c r="V156" s="36" t="str">
        <x:v>[{"point_id":"P1","description":"主要处理方式与预期动作 calculate_revenue_and_create_product_pivot 语义一致","weight":0.4,"evidence_memory_ids":["STM_51719eea-10bc-4246-a428-ac7c433dd4b3"]},{"point_id":"P2","description":"正确定位目标对象 BoomerangSales.xlsx","weight":0.2,"evidence_memory_ids":["STM_51719eea-10bc-4246-a428-ac7c433dd4b3"]},{"point_id":"P3","description":"满足关键条件：收入同时考虑价格、数量和折扣；透视表按产品汇总；结果放 Sheet2","weight":0.3,"evidence_memory_ids":["STM_51719eea-10bc-4246-a428-ac7c433dd4b3"]},{"point_id":"P4","description":"不采用禁止记忆中的冲突方案","weight":0.1,"evidence_memory_ids":["STM_51719eea-10bc-4246-a428-ac7c433dd4b3","MTM_3a7c8185-25c1-4941-bd7b-96e823c9f21f"]}]</x:v>
      </x:c>
      <x:c r="W156" s="36" t="str">
        <x:v>1.00</x:v>
      </x:c>
      <x:c r="X156" s="39" t="str">
        <x:v>Revenue 要用价格×数量并考虑折扣，之后在 Sheet2 按产品做透视汇总。</x:v>
      </x:c>
      <x:c r="Y156"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156" s="39" t="str">
        <x:v>不适用：当前题目不存在需要用户进一步选择的候选记忆。</x:v>
      </x:c>
      <x:c r="AA156" s="39" t="str">
        <x:v>第1条记忆（中期/工作流程）：在 BoomerangSales.xlsx 中先按 A 列升序排列数据，再创建折线图，以 Date Time 为横轴、quantity 为纵轴。关键约束：必须先排序再作图；A 列升序；横轴 Date Time，纵轴 quantity。</x:v>
      </x:c>
      <x:c r="AB156" s="39" t="str">
        <x:v>应执行以下操作：在 BoomerangSales.xlsx 中依据 Retail Price 表的产品价格，并结合数量和折扣计算 Revenue 新列；随后在 Sheet2 创建按产品汇总收入的数据透视表。</x:v>
      </x:c>
      <x:c r="AC156"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156" s="39" t="str">
        <x:v>用户的完整请求是：“Revenue 要用价格×数量并考虑折扣，之后在 Sheet2 按产品做透视汇总。” 第1个当前上下文：BoomerangSales.xlsx 已在 LibreOffice Calc 中打开。 当前请求是在已有办公上下文中继续、复用或重新强调既有处理方式。与该请求唯一对应的完整必需记忆如下：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BoomerangSales.xlsx 中依据 Retail Price 表的产品价格，并结合数量和折扣计算 Revenue 新列；随后在 Sheet2 创建按产品汇总收入的数据透视表。”</x:v>
      </x:c>
      <x:c r="AE15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第2个得分点（0.20分）：正确定位目标对象 BoomerangSales.xlsx。该得分点所依据的完整证据为：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第3个得分点（0.30分）：满足关键条件：收入同时考虑价格、数量和折扣；透视表按产品汇总；结果放 Sheet2。该得分点所依据的完整证据为：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第4个得分点（0.10分）：不采用禁止记忆中的冲突方案。该得分点所依据的完整证据为：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156" s="50" t="str">
        <x:v>not_pass</x:v>
      </x:c>
      <x:c r="AG156" s="50" t="n">
        <x:v>0</x:v>
      </x:c>
    </x:row>
    <x:row r="157" ht="165" customHeight="1">
      <x:c r="A157" s="35" t="str">
        <x:v>51b11269-2ca8-4b2a-9163-f21758420e78_HQ1</x:v>
      </x:c>
      <x:c r="B157" s="36" t="str">
        <x:v>SG_TASK_51b11269-2ca8-4b2a-9163-f21758420e78</x:v>
      </x:c>
      <x:c r="C157" s="36" t="str">
        <x:v>51b11269-2ca8-4b2a-9163-f21758420e78</x:v>
      </x:c>
      <x:c r="D157" s="36" t="str">
        <x:v>Arrang_Value_min_to_max.xlsx</x:v>
      </x:c>
      <x:c r="E157" s="36" t="str">
        <x:v>single_memory</x:v>
      </x:c>
      <x:c r="F157" s="36" t="str">
        <x:v>human_context_explicit</x:v>
      </x:c>
      <x:c r="G157" s="36" t="str">
        <x:v>dev</x:v>
      </x:c>
      <x:c r="H157" s="36" t="str">
        <x:v>简单</x:v>
      </x:c>
      <x:c r="I157" s="36" t="str">
        <x:v>51b11269-2ca8-4b2a-9163-f21758420e78</x:v>
      </x:c>
      <x:c r="J157" s="36" t="str">
        <x:v>CTX_51b11269-2ca8-4b2a-9163-f21758420e78</x:v>
      </x:c>
      <x:c r="K157" s="36" t="str">
        <x:v>MTM_51b11269-2ca8-4b2a-9163-f21758420e78</x:v>
      </x:c>
      <x:c r="L157" s="36" t="str"/>
      <x:c r="M157" s="36" t="str"/>
      <x:c r="N157" s="36" t="str">
        <x:v>工作流程</x:v>
      </x:c>
      <x:c r="O157" s="36" t="str">
        <x:v>中期</x:v>
      </x:c>
      <x:c r="P157" s="36" t="str">
        <x:v>["libreoffice_calc"]</x:v>
      </x:c>
      <x:c r="Q157" s="36" t="str">
        <x:v>[{"step_id":"S1","app":"libreoffice_calc","action_key":"sort_amounts_ascending","input_artifacts":["Arrang_Value_min_to_max.xlsx"],"output_artifacts":["Arrang_Value_min_to_max.xlsx"],"depends_on":[]}]</x:v>
      </x:c>
      <x:c r="R157" s="36" t="str">
        <x:v>[]</x:v>
      </x:c>
      <x:c r="S157" s="36" t="str">
        <x:v>sort_amounts_ascending</x:v>
      </x:c>
      <x:c r="T157" s="36" t="str">
        <x:v>Arrang_Value_min_to_max.xlsx</x:v>
      </x:c>
      <x:c r="U157" s="36" t="str">
        <x:v>retrieve_and_execute</x:v>
      </x:c>
      <x:c r="V157" s="36" t="str">
        <x:v>[{"point_id":"P1","description":"主要处理方式与预期动作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x:v>
      </x:c>
      <x:c r="W157" s="36" t="str">
        <x:v>1.00</x:v>
      </x:c>
      <x:c r="X157" s="39" t="str">
        <x:v>Arrang_Value_min_to_max.xlsx 的记录按之前的方式从最小金额排到最大金额。</x:v>
      </x:c>
      <x:c r="Y157" s="39" t="str">
        <x:v>第1条记忆（中期/工作流程）：在 Arrang_Value_min_to_max.xlsx 中按照金额从小到大对整条记录进行升序排序。关键约束：按金额升序；必须移动整条记录，不能只排序单个金额列。</x:v>
      </x:c>
      <x:c r="Z157" s="39" t="str">
        <x:v>不适用：当前题目不存在需要用户进一步选择的候选记忆。</x:v>
      </x:c>
      <x:c r="AA157" s="39" t="str">
        <x:v>不适用：当前题目没有指定需要排除的冲突或禁止记忆。</x:v>
      </x:c>
      <x:c r="AB157" s="39" t="str">
        <x:v>应执行以下操作：在 Arrang_Value_min_to_max.xlsx 中按照金额从小到大对整条记录进行升序排序。</x:v>
      </x:c>
      <x:c r="AC157" s="39" t="str">
        <x:v>第1项实际操作：在 Arrang_Value_min_to_max.xlsx 中按照金额从小到大对整条记录进行升序排序。执行时必须满足：按金额升序；必须移动整条记录，不能只排序单个金额列。</x:v>
      </x:c>
      <x:c r="AD157" s="39" t="str">
        <x:v>用户的完整请求是：“Arrang_Value_min_to_max.xlsx 的记录按之前的方式从最小金额排到最大金额。”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x:v>
      </x:c>
      <x:c r="AE15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x:v>
      </x:c>
      <x:c r="AF157" s="50" t="str">
        <x:v>not_pass</x:v>
      </x:c>
      <x:c r="AG157" s="50" t="n">
        <x:v>0</x:v>
      </x:c>
    </x:row>
    <x:row r="158" ht="165" customHeight="1">
      <x:c r="A158" s="35" t="str">
        <x:v>51b11269-2ca8-4b2a-9163-f21758420e78_HQ2</x:v>
      </x:c>
      <x:c r="B158" s="36" t="str">
        <x:v>SG_TASK_51b11269-2ca8-4b2a-9163-f21758420e78</x:v>
      </x:c>
      <x:c r="C158" s="36" t="str">
        <x:v>51b11269-2ca8-4b2a-9163-f21758420e78</x:v>
      </x:c>
      <x:c r="D158" s="36" t="str">
        <x:v>Arrang_Value_min_to_max.xlsx</x:v>
      </x:c>
      <x:c r="E158" s="36" t="str">
        <x:v>single_memory</x:v>
      </x:c>
      <x:c r="F158" s="36" t="str">
        <x:v>human_goal_oriented</x:v>
      </x:c>
      <x:c r="G158" s="36" t="str">
        <x:v>dev</x:v>
      </x:c>
      <x:c r="H158" s="36" t="str">
        <x:v>中等</x:v>
      </x:c>
      <x:c r="I158" s="36" t="str">
        <x:v>51b11269-2ca8-4b2a-9163-f21758420e78</x:v>
      </x:c>
      <x:c r="J158" s="36" t="str">
        <x:v>CTX_51b11269-2ca8-4b2a-9163-f21758420e78</x:v>
      </x:c>
      <x:c r="K158" s="36" t="str">
        <x:v>MTM_51b11269-2ca8-4b2a-9163-f21758420e78</x:v>
      </x:c>
      <x:c r="L158" s="36" t="str"/>
      <x:c r="M158" s="36" t="str"/>
      <x:c r="N158" s="36" t="str">
        <x:v>工作流程</x:v>
      </x:c>
      <x:c r="O158" s="36" t="str">
        <x:v>中期</x:v>
      </x:c>
      <x:c r="P158" s="36" t="str">
        <x:v>["libreoffice_calc"]</x:v>
      </x:c>
      <x:c r="Q158" s="36" t="str">
        <x:v>[{"step_id":"S1","app":"libreoffice_calc","action_key":"sort_amounts_ascending","input_artifacts":["Arrang_Value_min_to_max.xlsx"],"output_artifacts":["Arrang_Value_min_to_max.xlsx"],"depends_on":[]}]</x:v>
      </x:c>
      <x:c r="R158" s="36" t="str">
        <x:v>[]</x:v>
      </x:c>
      <x:c r="S158" s="36" t="str">
        <x:v>sort_amounts_ascending</x:v>
      </x:c>
      <x:c r="T158" s="36" t="str">
        <x:v>Arrang_Value_min_to_max.xlsx</x:v>
      </x:c>
      <x:c r="U158" s="36" t="str">
        <x:v>retrieve_and_execute</x:v>
      </x:c>
      <x:c r="V158" s="36" t="str">
        <x:v>[{"point_id":"P1","description":"主要处理方式与预期动作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x:v>
      </x:c>
      <x:c r="W158" s="36" t="str">
        <x:v>1.00</x:v>
      </x:c>
      <x:c r="X158" s="39" t="str">
        <x:v>我想先看小额再看大额，帮我按 amount 升序整理整张明细。</x:v>
      </x:c>
      <x:c r="Y158" s="39" t="str">
        <x:v>第1条记忆（中期/工作流程）：在 Arrang_Value_min_to_max.xlsx 中按照金额从小到大对整条记录进行升序排序。关键约束：按金额升序；必须移动整条记录，不能只排序单个金额列。</x:v>
      </x:c>
      <x:c r="Z158" s="39" t="str">
        <x:v>不适用：当前题目不存在需要用户进一步选择的候选记忆。</x:v>
      </x:c>
      <x:c r="AA158" s="39" t="str">
        <x:v>不适用：当前题目没有指定需要排除的冲突或禁止记忆。</x:v>
      </x:c>
      <x:c r="AB158" s="39" t="str">
        <x:v>应执行以下操作：在 Arrang_Value_min_to_max.xlsx 中按照金额从小到大对整条记录进行升序排序。</x:v>
      </x:c>
      <x:c r="AC158" s="39" t="str">
        <x:v>第1项实际操作：在 Arrang_Value_min_to_max.xlsx 中按照金额从小到大对整条记录进行升序排序。执行时必须满足：按金额升序；必须移动整条记录，不能只排序单个金额列。</x:v>
      </x:c>
      <x:c r="AD158" s="39" t="str">
        <x:v>用户的完整请求是：“我想先看小额再看大额，帮我按 amount 升序整理整张明细。”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x:v>
      </x:c>
      <x:c r="AE15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x:v>
      </x:c>
      <x:c r="AF158" s="50" t="str">
        <x:v>not_pass</x:v>
      </x:c>
      <x:c r="AG158" s="50" t="n">
        <x:v>0</x:v>
      </x:c>
    </x:row>
    <x:row r="159" ht="165" customHeight="1">
      <x:c r="A159" s="35" t="str">
        <x:v>51b11269-2ca8-4b2a-9163-f21758420e78_HQ3</x:v>
      </x:c>
      <x:c r="B159" s="36" t="str">
        <x:v>SG_TASK_51b11269-2ca8-4b2a-9163-f21758420e78</x:v>
      </x:c>
      <x:c r="C159" s="36" t="str">
        <x:v>51b11269-2ca8-4b2a-9163-f21758420e78</x:v>
      </x:c>
      <x:c r="D159" s="36" t="str">
        <x:v>Arrang_Value_min_to_max.xlsx</x:v>
      </x:c>
      <x:c r="E159" s="36" t="str">
        <x:v>single_memory</x:v>
      </x:c>
      <x:c r="F159" s="36" t="str">
        <x:v>contextual_ellipsis</x:v>
      </x:c>
      <x:c r="G159" s="36" t="str">
        <x:v>dev</x:v>
      </x:c>
      <x:c r="H159" s="36" t="str">
        <x:v>中等</x:v>
      </x:c>
      <x:c r="I159" s="36" t="str">
        <x:v>51b11269-2ca8-4b2a-9163-f21758420e78</x:v>
      </x:c>
      <x:c r="J159" s="36" t="str">
        <x:v>CTX_51b11269-2ca8-4b2a-9163-f21758420e78</x:v>
      </x:c>
      <x:c r="K159" s="36" t="str">
        <x:v>MTM_51b11269-2ca8-4b2a-9163-f21758420e78</x:v>
      </x:c>
      <x:c r="L159" s="36" t="str"/>
      <x:c r="M159" s="36" t="str"/>
      <x:c r="N159" s="36" t="str">
        <x:v>工作流程</x:v>
      </x:c>
      <x:c r="O159" s="36" t="str">
        <x:v>中期</x:v>
      </x:c>
      <x:c r="P159" s="36" t="str">
        <x:v>["libreoffice_calc"]</x:v>
      </x:c>
      <x:c r="Q159" s="36" t="str">
        <x:v>[{"step_id":"S1","app":"libreoffice_calc","action_key":"sort_amounts_ascending","input_artifacts":["Arrang_Value_min_to_max.xlsx"],"output_artifacts":["Arrang_Value_min_to_max.xlsx"],"depends_on":[]}]</x:v>
      </x:c>
      <x:c r="R159" s="36" t="str">
        <x:v>[]</x:v>
      </x:c>
      <x:c r="S159" s="36" t="str">
        <x:v>sort_amounts_ascending</x:v>
      </x:c>
      <x:c r="T159" s="36" t="str">
        <x:v>Arrang_Value_min_to_max.xlsx</x:v>
      </x:c>
      <x:c r="U159" s="36" t="str">
        <x:v>retrieve_and_execute</x:v>
      </x:c>
      <x:c r="V159" s="36" t="str">
        <x:v>[{"point_id":"P1","description":"主要处理方式与预期动作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x:v>
      </x:c>
      <x:c r="W159" s="36" t="str">
        <x:v>1.00</x:v>
      </x:c>
      <x:c r="X159" s="39" t="str">
        <x:v>当前表继续做金额排序，行里的其他字段要跟着一起移动。</x:v>
      </x:c>
      <x:c r="Y159" s="39" t="str">
        <x:v>第1条记忆（中期/工作流程）：在 Arrang_Value_min_to_max.xlsx 中按照金额从小到大对整条记录进行升序排序。关键约束：按金额升序；必须移动整条记录，不能只排序单个金额列。</x:v>
      </x:c>
      <x:c r="Z159" s="39" t="str">
        <x:v>不适用：当前题目不存在需要用户进一步选择的候选记忆。</x:v>
      </x:c>
      <x:c r="AA159" s="39" t="str">
        <x:v>不适用：当前题目没有指定需要排除的冲突或禁止记忆。</x:v>
      </x:c>
      <x:c r="AB159" s="39" t="str">
        <x:v>应执行以下操作：在 Arrang_Value_min_to_max.xlsx 中按照金额从小到大对整条记录进行升序排序。</x:v>
      </x:c>
      <x:c r="AC159" s="39" t="str">
        <x:v>第1项实际操作：在 Arrang_Value_min_to_max.xlsx 中按照金额从小到大对整条记录进行升序排序。执行时必须满足：按金额升序；必须移动整条记录，不能只排序单个金额列。</x:v>
      </x:c>
      <x:c r="AD159" s="39" t="str">
        <x:v>用户的完整请求是：“当前表继续做金额排序，行里的其他字段要跟着一起移动。”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x:v>
      </x:c>
      <x:c r="AE15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x:v>
      </x:c>
      <x:c r="AF159" s="50" t="str">
        <x:v>not_pass</x:v>
      </x:c>
      <x:c r="AG159" s="50" t="n">
        <x:v>0</x:v>
      </x:c>
    </x:row>
    <x:row r="160" ht="165" customHeight="1">
      <x:c r="A160" s="35" t="str">
        <x:v>51b11269-2ca8-4b2a-9163-f21758420e78_HQ4</x:v>
      </x:c>
      <x:c r="B160" s="36" t="str">
        <x:v>SG_TASK_51b11269-2ca8-4b2a-9163-f21758420e78</x:v>
      </x:c>
      <x:c r="C160" s="36" t="str">
        <x:v>51b11269-2ca8-4b2a-9163-f21758420e78</x:v>
      </x:c>
      <x:c r="D160" s="36" t="str">
        <x:v>Arrang_Value_min_to_max.xlsx</x:v>
      </x:c>
      <x:c r="E160" s="36" t="str">
        <x:v>single_memory</x:v>
      </x:c>
      <x:c r="F160" s="36" t="str">
        <x:v>low_overlap_paraphrase</x:v>
      </x:c>
      <x:c r="G160" s="36" t="str">
        <x:v>dev</x:v>
      </x:c>
      <x:c r="H160" s="36" t="str">
        <x:v>困难</x:v>
      </x:c>
      <x:c r="I160" s="36" t="str">
        <x:v>51b11269-2ca8-4b2a-9163-f21758420e78</x:v>
      </x:c>
      <x:c r="J160" s="36" t="str">
        <x:v>CTX_51b11269-2ca8-4b2a-9163-f21758420e78</x:v>
      </x:c>
      <x:c r="K160" s="36" t="str">
        <x:v>MTM_51b11269-2ca8-4b2a-9163-f21758420e78</x:v>
      </x:c>
      <x:c r="L160" s="36" t="str"/>
      <x:c r="M160" s="36" t="str"/>
      <x:c r="N160" s="36" t="str">
        <x:v>工作流程</x:v>
      </x:c>
      <x:c r="O160" s="36" t="str">
        <x:v>中期</x:v>
      </x:c>
      <x:c r="P160" s="36" t="str">
        <x:v>["libreoffice_calc"]</x:v>
      </x:c>
      <x:c r="Q160" s="36" t="str">
        <x:v>[{"step_id":"S1","app":"libreoffice_calc","action_key":"sort_amounts_ascending","input_artifacts":["Arrang_Value_min_to_max.xlsx"],"output_artifacts":["Arrang_Value_min_to_max.xlsx"],"depends_on":[]}]</x:v>
      </x:c>
      <x:c r="R160" s="36" t="str">
        <x:v>[]</x:v>
      </x:c>
      <x:c r="S160" s="36" t="str">
        <x:v>sort_amounts_ascending</x:v>
      </x:c>
      <x:c r="T160" s="36" t="str">
        <x:v>Arrang_Value_min_to_max.xlsx</x:v>
      </x:c>
      <x:c r="U160" s="36" t="str">
        <x:v>retrieve_and_execute</x:v>
      </x:c>
      <x:c r="V160" s="36" t="str">
        <x:v>[{"point_id":"P1","description":"主要处理方式与预期动作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x:v>
      </x:c>
      <x:c r="W160" s="36" t="str">
        <x:v>1.00</x:v>
      </x:c>
      <x:c r="X160" s="39" t="str">
        <x:v>为了检查异常值，请把记录按数额由低到高重新排列。</x:v>
      </x:c>
      <x:c r="Y160" s="39" t="str">
        <x:v>第1条记忆（中期/工作流程）：在 Arrang_Value_min_to_max.xlsx 中按照金额从小到大对整条记录进行升序排序。关键约束：按金额升序；必须移动整条记录，不能只排序单个金额列。</x:v>
      </x:c>
      <x:c r="Z160" s="39" t="str">
        <x:v>不适用：当前题目不存在需要用户进一步选择的候选记忆。</x:v>
      </x:c>
      <x:c r="AA160" s="39" t="str">
        <x:v>不适用：当前题目没有指定需要排除的冲突或禁止记忆。</x:v>
      </x:c>
      <x:c r="AB160" s="39" t="str">
        <x:v>应执行以下操作：在 Arrang_Value_min_to_max.xlsx 中按照金额从小到大对整条记录进行升序排序。</x:v>
      </x:c>
      <x:c r="AC160" s="39" t="str">
        <x:v>第1项实际操作：在 Arrang_Value_min_to_max.xlsx 中按照金额从小到大对整条记录进行升序排序。执行时必须满足：按金额升序；必须移动整条记录，不能只排序单个金额列。</x:v>
      </x:c>
      <x:c r="AD160" s="39" t="str">
        <x:v>用户的完整请求是：“为了检查异常值，请把记录按数额由低到高重新排列。”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x:v>
      </x:c>
      <x:c r="AE16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x:v>
      </x:c>
      <x:c r="AF160" s="50" t="str">
        <x:v>not_pass</x:v>
      </x:c>
      <x:c r="AG160" s="50" t="n">
        <x:v>0</x:v>
      </x:c>
    </x:row>
    <x:row r="161" ht="165" customHeight="1">
      <x:c r="A161" s="35" t="str">
        <x:v>51b11269-2ca8-4b2a-9163-f21758420e78_HQ5</x:v>
      </x:c>
      <x:c r="B161" s="36" t="str">
        <x:v>SG_TASK_51b11269-2ca8-4b2a-9163-f21758420e78</x:v>
      </x:c>
      <x:c r="C161" s="36" t="str">
        <x:v>51b11269-2ca8-4b2a-9163-f21758420e78</x:v>
      </x:c>
      <x:c r="D161" s="36" t="str">
        <x:v>Arrang_Value_min_to_max.xlsx</x:v>
      </x:c>
      <x:c r="E161" s="36" t="str">
        <x:v>single_memory</x:v>
      </x:c>
      <x:c r="F161" s="36" t="str">
        <x:v>human_constraint_emphasis</x:v>
      </x:c>
      <x:c r="G161" s="36" t="str">
        <x:v>dev</x:v>
      </x:c>
      <x:c r="H161" s="36" t="str">
        <x:v>困难</x:v>
      </x:c>
      <x:c r="I161" s="36" t="str">
        <x:v>51b11269-2ca8-4b2a-9163-f21758420e78</x:v>
      </x:c>
      <x:c r="J161" s="36" t="str">
        <x:v>CTX_51b11269-2ca8-4b2a-9163-f21758420e78</x:v>
      </x:c>
      <x:c r="K161" s="36" t="str">
        <x:v>MTM_51b11269-2ca8-4b2a-9163-f21758420e78</x:v>
      </x:c>
      <x:c r="L161" s="36" t="str"/>
      <x:c r="M161" s="36" t="str"/>
      <x:c r="N161" s="36" t="str">
        <x:v>工作流程</x:v>
      </x:c>
      <x:c r="O161" s="36" t="str">
        <x:v>中期</x:v>
      </x:c>
      <x:c r="P161" s="36" t="str">
        <x:v>["libreoffice_calc"]</x:v>
      </x:c>
      <x:c r="Q161" s="36" t="str">
        <x:v>[{"step_id":"S1","app":"libreoffice_calc","action_key":"sort_amounts_ascending","input_artifacts":["Arrang_Value_min_to_max.xlsx"],"output_artifacts":["Arrang_Value_min_to_max.xlsx"],"depends_on":[]}]</x:v>
      </x:c>
      <x:c r="R161" s="36" t="str">
        <x:v>[]</x:v>
      </x:c>
      <x:c r="S161" s="36" t="str">
        <x:v>sort_amounts_ascending</x:v>
      </x:c>
      <x:c r="T161" s="36" t="str">
        <x:v>Arrang_Value_min_to_max.xlsx</x:v>
      </x:c>
      <x:c r="U161" s="36" t="str">
        <x:v>retrieve_and_execute</x:v>
      </x:c>
      <x:c r="V161" s="36" t="str">
        <x:v>[{"point_id":"P1","description":"主要处理方式与预期动作 sort_amounts_ascending 语义一致","weight":0.4,"evidence_memory_ids":["MTM_51b11269-2ca8-4b2a-9163-f21758420e78"]},{"point_id":"P2","description":"正确定位目标对象 Arrang_Value_min_to_max.xlsx","weight":0.2,"evidence_memory_ids":["MTM_51b11269-2ca8-4b2a-9163-f21758420e78"]},{"point_id":"P3","description":"满足关键条件：按金额升序；必须移动整条记录，不能只排序单个金额列","weight":0.3,"evidence_memory_ids":["MTM_51b11269-2ca8-4b2a-9163-f21758420e78"]},{"point_id":"P4","description":"不增加无记忆证据支持的操作","weight":0.1,"evidence_memory_ids":["MTM_51b11269-2ca8-4b2a-9163-f21758420e78"]}]</x:v>
      </x:c>
      <x:c r="W161" s="36" t="str">
        <x:v>1.00</x:v>
      </x:c>
      <x:c r="X161" s="39" t="str">
        <x:v>金额升序排序，别只动数值那一列，要保持每行数据对应。</x:v>
      </x:c>
      <x:c r="Y161" s="39" t="str">
        <x:v>第1条记忆（中期/工作流程）：在 Arrang_Value_min_to_max.xlsx 中按照金额从小到大对整条记录进行升序排序。关键约束：按金额升序；必须移动整条记录，不能只排序单个金额列。</x:v>
      </x:c>
      <x:c r="Z161" s="39" t="str">
        <x:v>不适用：当前题目不存在需要用户进一步选择的候选记忆。</x:v>
      </x:c>
      <x:c r="AA161" s="39" t="str">
        <x:v>不适用：当前题目没有指定需要排除的冲突或禁止记忆。</x:v>
      </x:c>
      <x:c r="AB161" s="39" t="str">
        <x:v>应执行以下操作：在 Arrang_Value_min_to_max.xlsx 中按照金额从小到大对整条记录进行升序排序。</x:v>
      </x:c>
      <x:c r="AC161" s="39" t="str">
        <x:v>第1项实际操作：在 Arrang_Value_min_to_max.xlsx 中按照金额从小到大对整条记录进行升序排序。执行时必须满足：按金额升序；必须移动整条记录，不能只排序单个金额列。</x:v>
      </x:c>
      <x:c r="AD161" s="39" t="str">
        <x:v>用户的完整请求是：“金额升序排序，别只动数值那一列，要保持每行数据对应。” 第1个当前上下文：Arrang_Value_min_to_max.xlsx 已在 LibreOffice Calc 中打开。 当前请求是在已有办公上下文中继续、复用或重新强调既有处理方式。与该请求唯一对应的完整必需记忆如下：
第1条记忆（中期/工作流程）：在 Arrang_Value_min_to_max.xlsx 中按照金额从小到大对整条记录进行升序排序。关键约束：按金额升序；必须移动整条记录，不能只排序单个金额列。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Arrang_Value_min_to_max.xlsx 中按照金额从小到大对整条记录进行升序排序。”</x:v>
      </x:c>
      <x:c r="AE16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第1条记忆（中期/工作流程）：在 Arrang_Value_min_to_max.xlsx 中按照金额从小到大对整条记录进行升序排序。关键约束：按金额升序；必须移动整条记录，不能只排序单个金额列。
第2个得分点（0.20分）：正确定位目标对象 Arrang_Value_min_to_max.xlsx。该得分点所依据的完整证据为：
第1条记忆（中期/工作流程）：在 Arrang_Value_min_to_max.xlsx 中按照金额从小到大对整条记录进行升序排序。关键约束：按金额升序；必须移动整条记录，不能只排序单个金额列。
第3个得分点（0.30分）：满足关键条件：按金额升序；必须移动整条记录，不能只排序单个金额列。该得分点所依据的完整证据为：
第1条记忆（中期/工作流程）：在 Arrang_Value_min_to_max.xlsx 中按照金额从小到大对整条记录进行升序排序。关键约束：按金额升序；必须移动整条记录，不能只排序单个金额列。
第4个得分点（0.10分）：不增加无记忆证据支持的操作。该得分点所依据的完整证据为：
第1条记忆（中期/工作流程）：在 Arrang_Value_min_to_max.xlsx 中按照金额从小到大对整条记录进行升序排序。关键约束：按金额升序；必须移动整条记录，不能只排序单个金额列。
人工复审时，应依据模型最终给出的信息和实际操作是否满足上述每个得分点分别给分；只命中记忆 ID 但没有形成对应结论不能获得该结论分，形成了正确结论但表达方式不同则不应扣分。</x:v>
      </x:c>
      <x:c r="AF161" s="50" t="str">
        <x:v>not_pass</x:v>
      </x:c>
      <x:c r="AG161" s="50" t="n">
        <x:v>0</x:v>
      </x:c>
    </x:row>
    <x:row r="162" ht="165" customHeight="1">
      <x:c r="A162" s="35" t="str">
        <x:v>535364ea-05bd-46ea-9937-9f55c68507e8_HQ1</x:v>
      </x:c>
      <x:c r="B162" s="36" t="str">
        <x:v>SG_TASK_535364ea-05bd-46ea-9937-9f55c68507e8</x:v>
      </x:c>
      <x:c r="C162" s="36" t="str">
        <x:v>535364ea-05bd-46ea-9937-9f55c68507e8</x:v>
      </x:c>
      <x:c r="D162" s="36" t="str">
        <x:v>SummerSales.xlsx</x:v>
      </x:c>
      <x:c r="E162" s="36" t="str">
        <x:v>single_memory</x:v>
      </x:c>
      <x:c r="F162" s="36" t="str">
        <x:v>human_context_explicit</x:v>
      </x:c>
      <x:c r="G162" s="36" t="str">
        <x:v>test</x:v>
      </x:c>
      <x:c r="H162" s="36" t="str">
        <x:v>简单</x:v>
      </x:c>
      <x:c r="I162" s="36" t="str">
        <x:v>535364ea-05bd-46ea-9937-9f55c68507e8</x:v>
      </x:c>
      <x:c r="J162" s="36" t="str">
        <x:v>CTX_535364ea-05bd-46ea-9937-9f55c68507e8</x:v>
      </x:c>
      <x:c r="K162" s="36" t="str">
        <x:v>LTM_535364ea-05bd-46ea-9937-9f55c68507e8</x:v>
      </x:c>
      <x:c r="L162" s="36" t="str"/>
      <x:c r="M162" s="36" t="str"/>
      <x:c r="N162" s="36" t="str">
        <x:v>可复用模板</x:v>
      </x:c>
      <x:c r="O162" s="36" t="str">
        <x:v>长期</x:v>
      </x:c>
      <x:c r="P162" s="36" t="str">
        <x:v>["libreoffice_calc"]</x:v>
      </x:c>
      <x:c r="Q162" s="36" t="str">
        <x:v>[{"step_id":"S1","app":"libreoffice_calc","action_key":"create_product_and_channel_revenue_pivots","input_artifacts":["SummerSales.xlsx"],"output_artifacts":["SummerSales.xlsx"],"depends_on":[]}]</x:v>
      </x:c>
      <x:c r="R162" s="36" t="str">
        <x:v>[]</x:v>
      </x:c>
      <x:c r="S162" s="36" t="str">
        <x:v>create_product_and_channel_revenue_pivots</x:v>
      </x:c>
      <x:c r="T162" s="36" t="str">
        <x:v>SummerSales.xlsx</x:v>
      </x:c>
      <x:c r="U162" s="36" t="str">
        <x:v>retrieve_and_execute</x:v>
      </x:c>
      <x:c r="V162" s="36" t="str">
        <x:v>[{"point_id":"P1","description":"主要处理方式与预期动作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x:v>
      </x:c>
      <x:c r="W162" s="36" t="str">
        <x:v>1.00</x:v>
      </x:c>
      <x:c r="X162" s="39" t="str">
        <x:v>SummerSales.xlsx 的收入按之前的双透视表模板整理，一张看产品，一张看销售渠道。</x:v>
      </x:c>
      <x:c r="Y162" s="39" t="str">
        <x:v>第1条记忆（长期/可复用模板）：在 SummerSales.xlsx 新建 Sheet2，创建两张数据透视表，分别汇总每种产品的总收入和每个销售渠道的总收入。关键约束：必须有两张透视表；分别按产品和销售渠道汇总；目标为 Sheet2。</x:v>
      </x:c>
      <x:c r="Z162" s="39" t="str">
        <x:v>不适用：当前题目不存在需要用户进一步选择的候选记忆。</x:v>
      </x:c>
      <x:c r="AA162" s="39" t="str">
        <x:v>不适用：当前题目没有指定需要排除的冲突或禁止记忆。</x:v>
      </x:c>
      <x:c r="AB162" s="39" t="str">
        <x:v>应执行以下操作：在 SummerSales.xlsx 新建 Sheet2，创建两张数据透视表，分别汇总每种产品的总收入和每个销售渠道的总收入。</x:v>
      </x:c>
      <x:c r="AC162" s="39" t="str">
        <x:v>第1项实际操作：在 SummerSales.xlsx 新建 Sheet2，创建两张数据透视表，分别汇总每种产品的总收入和每个销售渠道的总收入。执行时必须满足：必须有两张透视表；分别按产品和销售渠道汇总；目标为 Sheet2。</x:v>
      </x:c>
      <x:c r="AD162" s="39" t="str">
        <x:v>用户的完整请求是：“SummerSales.xlsx 的收入按之前的双透视表模板整理，一张看产品，一张看销售渠道。”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x:v>
      </x:c>
      <x:c r="AE16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162" s="50" t="str">
        <x:v>not_pass</x:v>
      </x:c>
      <x:c r="AG162" s="50" t="n">
        <x:v>0</x:v>
      </x:c>
    </x:row>
    <x:row r="163" ht="165" customHeight="1">
      <x:c r="A163" s="35" t="str">
        <x:v>535364ea-05bd-46ea-9937-9f55c68507e8_HQ2</x:v>
      </x:c>
      <x:c r="B163" s="36" t="str">
        <x:v>SG_TASK_535364ea-05bd-46ea-9937-9f55c68507e8</x:v>
      </x:c>
      <x:c r="C163" s="36" t="str">
        <x:v>535364ea-05bd-46ea-9937-9f55c68507e8</x:v>
      </x:c>
      <x:c r="D163" s="36" t="str">
        <x:v>SummerSales.xlsx</x:v>
      </x:c>
      <x:c r="E163" s="36" t="str">
        <x:v>single_memory</x:v>
      </x:c>
      <x:c r="F163" s="36" t="str">
        <x:v>human_goal_oriented</x:v>
      </x:c>
      <x:c r="G163" s="36" t="str">
        <x:v>test</x:v>
      </x:c>
      <x:c r="H163" s="36" t="str">
        <x:v>中等</x:v>
      </x:c>
      <x:c r="I163" s="36" t="str">
        <x:v>535364ea-05bd-46ea-9937-9f55c68507e8</x:v>
      </x:c>
      <x:c r="J163" s="36" t="str">
        <x:v>CTX_535364ea-05bd-46ea-9937-9f55c68507e8</x:v>
      </x:c>
      <x:c r="K163" s="36" t="str">
        <x:v>LTM_535364ea-05bd-46ea-9937-9f55c68507e8</x:v>
      </x:c>
      <x:c r="L163" s="36" t="str"/>
      <x:c r="M163" s="36" t="str"/>
      <x:c r="N163" s="36" t="str">
        <x:v>可复用模板</x:v>
      </x:c>
      <x:c r="O163" s="36" t="str">
        <x:v>长期</x:v>
      </x:c>
      <x:c r="P163" s="36" t="str">
        <x:v>["libreoffice_calc"]</x:v>
      </x:c>
      <x:c r="Q163" s="36" t="str">
        <x:v>[{"step_id":"S1","app":"libreoffice_calc","action_key":"create_product_and_channel_revenue_pivots","input_artifacts":["SummerSales.xlsx"],"output_artifacts":["SummerSales.xlsx"],"depends_on":[]}]</x:v>
      </x:c>
      <x:c r="R163" s="36" t="str">
        <x:v>[]</x:v>
      </x:c>
      <x:c r="S163" s="36" t="str">
        <x:v>create_product_and_channel_revenue_pivots</x:v>
      </x:c>
      <x:c r="T163" s="36" t="str">
        <x:v>SummerSales.xlsx</x:v>
      </x:c>
      <x:c r="U163" s="36" t="str">
        <x:v>retrieve_and_execute</x:v>
      </x:c>
      <x:c r="V163" s="36" t="str">
        <x:v>[{"point_id":"P1","description":"主要处理方式与预期动作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x:v>
      </x:c>
      <x:c r="W163" s="36" t="str">
        <x:v>1.00</x:v>
      </x:c>
      <x:c r="X163" s="39" t="str">
        <x:v>我想同时比较哪些商品卖得好、哪些渠道贡献高，麻烦在 Sheet2 分别汇总总收入。</x:v>
      </x:c>
      <x:c r="Y163" s="39" t="str">
        <x:v>第1条记忆（长期/可复用模板）：在 SummerSales.xlsx 新建 Sheet2，创建两张数据透视表，分别汇总每种产品的总收入和每个销售渠道的总收入。关键约束：必须有两张透视表；分别按产品和销售渠道汇总；目标为 Sheet2。</x:v>
      </x:c>
      <x:c r="Z163" s="39" t="str">
        <x:v>不适用：当前题目不存在需要用户进一步选择的候选记忆。</x:v>
      </x:c>
      <x:c r="AA163" s="39" t="str">
        <x:v>不适用：当前题目没有指定需要排除的冲突或禁止记忆。</x:v>
      </x:c>
      <x:c r="AB163" s="39" t="str">
        <x:v>应执行以下操作：在 SummerSales.xlsx 新建 Sheet2，创建两张数据透视表，分别汇总每种产品的总收入和每个销售渠道的总收入。</x:v>
      </x:c>
      <x:c r="AC163" s="39" t="str">
        <x:v>第1项实际操作：在 SummerSales.xlsx 新建 Sheet2，创建两张数据透视表，分别汇总每种产品的总收入和每个销售渠道的总收入。执行时必须满足：必须有两张透视表；分别按产品和销售渠道汇总；目标为 Sheet2。</x:v>
      </x:c>
      <x:c r="AD163" s="39" t="str">
        <x:v>用户的完整请求是：“我想同时比较哪些商品卖得好、哪些渠道贡献高，麻烦在 Sheet2 分别汇总总收入。”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x:v>
      </x:c>
      <x:c r="AE16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163" s="50" t="str">
        <x:v>not_pass</x:v>
      </x:c>
      <x:c r="AG163" s="50" t="n">
        <x:v>0</x:v>
      </x:c>
    </x:row>
    <x:row r="164" ht="165" customHeight="1">
      <x:c r="A164" s="35" t="str">
        <x:v>535364ea-05bd-46ea-9937-9f55c68507e8_HQ3</x:v>
      </x:c>
      <x:c r="B164" s="36" t="str">
        <x:v>SG_TASK_535364ea-05bd-46ea-9937-9f55c68507e8</x:v>
      </x:c>
      <x:c r="C164" s="36" t="str">
        <x:v>535364ea-05bd-46ea-9937-9f55c68507e8</x:v>
      </x:c>
      <x:c r="D164" s="36" t="str">
        <x:v>SummerSales.xlsx</x:v>
      </x:c>
      <x:c r="E164" s="36" t="str">
        <x:v>single_memory</x:v>
      </x:c>
      <x:c r="F164" s="36" t="str">
        <x:v>contextual_ellipsis</x:v>
      </x:c>
      <x:c r="G164" s="36" t="str">
        <x:v>test</x:v>
      </x:c>
      <x:c r="H164" s="36" t="str">
        <x:v>中等</x:v>
      </x:c>
      <x:c r="I164" s="36" t="str">
        <x:v>535364ea-05bd-46ea-9937-9f55c68507e8</x:v>
      </x:c>
      <x:c r="J164" s="36" t="str">
        <x:v>CTX_535364ea-05bd-46ea-9937-9f55c68507e8</x:v>
      </x:c>
      <x:c r="K164" s="36" t="str">
        <x:v>LTM_535364ea-05bd-46ea-9937-9f55c68507e8</x:v>
      </x:c>
      <x:c r="L164" s="36" t="str"/>
      <x:c r="M164" s="36" t="str"/>
      <x:c r="N164" s="36" t="str">
        <x:v>可复用模板</x:v>
      </x:c>
      <x:c r="O164" s="36" t="str">
        <x:v>长期</x:v>
      </x:c>
      <x:c r="P164" s="36" t="str">
        <x:v>["libreoffice_calc"]</x:v>
      </x:c>
      <x:c r="Q164" s="36" t="str">
        <x:v>[{"step_id":"S1","app":"libreoffice_calc","action_key":"create_product_and_channel_revenue_pivots","input_artifacts":["SummerSales.xlsx"],"output_artifacts":["SummerSales.xlsx"],"depends_on":[]}]</x:v>
      </x:c>
      <x:c r="R164" s="36" t="str">
        <x:v>[]</x:v>
      </x:c>
      <x:c r="S164" s="36" t="str">
        <x:v>create_product_and_channel_revenue_pivots</x:v>
      </x:c>
      <x:c r="T164" s="36" t="str">
        <x:v>SummerSales.xlsx</x:v>
      </x:c>
      <x:c r="U164" s="36" t="str">
        <x:v>retrieve_and_execute</x:v>
      </x:c>
      <x:c r="V164" s="36" t="str">
        <x:v>[{"point_id":"P1","description":"主要处理方式与预期动作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x:v>
      </x:c>
      <x:c r="W164" s="36" t="str">
        <x:v>1.00</x:v>
      </x:c>
      <x:c r="X164" s="39" t="str">
        <x:v>当前暑期销售表继续做两组 revenue Pivot，维度别合并。</x:v>
      </x:c>
      <x:c r="Y164" s="39" t="str">
        <x:v>第1条记忆（长期/可复用模板）：在 SummerSales.xlsx 新建 Sheet2，创建两张数据透视表，分别汇总每种产品的总收入和每个销售渠道的总收入。关键约束：必须有两张透视表；分别按产品和销售渠道汇总；目标为 Sheet2。</x:v>
      </x:c>
      <x:c r="Z164" s="39" t="str">
        <x:v>不适用：当前题目不存在需要用户进一步选择的候选记忆。</x:v>
      </x:c>
      <x:c r="AA164" s="39" t="str">
        <x:v>不适用：当前题目没有指定需要排除的冲突或禁止记忆。</x:v>
      </x:c>
      <x:c r="AB164" s="39" t="str">
        <x:v>应执行以下操作：在 SummerSales.xlsx 新建 Sheet2，创建两张数据透视表，分别汇总每种产品的总收入和每个销售渠道的总收入。</x:v>
      </x:c>
      <x:c r="AC164" s="39" t="str">
        <x:v>第1项实际操作：在 SummerSales.xlsx 新建 Sheet2，创建两张数据透视表，分别汇总每种产品的总收入和每个销售渠道的总收入。执行时必须满足：必须有两张透视表；分别按产品和销售渠道汇总；目标为 Sheet2。</x:v>
      </x:c>
      <x:c r="AD164" s="39" t="str">
        <x:v>用户的完整请求是：“当前暑期销售表继续做两组 revenue Pivot，维度别合并。”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x:v>
      </x:c>
      <x:c r="AE16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164" s="50" t="str">
        <x:v>not_pass</x:v>
      </x:c>
      <x:c r="AG164" s="50" t="n">
        <x:v>0</x:v>
      </x:c>
    </x:row>
    <x:row r="165" ht="165" customHeight="1">
      <x:c r="A165" s="35" t="str">
        <x:v>535364ea-05bd-46ea-9937-9f55c68507e8_HQ4</x:v>
      </x:c>
      <x:c r="B165" s="36" t="str">
        <x:v>SG_TASK_535364ea-05bd-46ea-9937-9f55c68507e8</x:v>
      </x:c>
      <x:c r="C165" s="36" t="str">
        <x:v>535364ea-05bd-46ea-9937-9f55c68507e8</x:v>
      </x:c>
      <x:c r="D165" s="36" t="str">
        <x:v>SummerSales.xlsx</x:v>
      </x:c>
      <x:c r="E165" s="36" t="str">
        <x:v>single_memory</x:v>
      </x:c>
      <x:c r="F165" s="36" t="str">
        <x:v>low_overlap_paraphrase</x:v>
      </x:c>
      <x:c r="G165" s="36" t="str">
        <x:v>test</x:v>
      </x:c>
      <x:c r="H165" s="36" t="str">
        <x:v>困难</x:v>
      </x:c>
      <x:c r="I165" s="36" t="str">
        <x:v>535364ea-05bd-46ea-9937-9f55c68507e8</x:v>
      </x:c>
      <x:c r="J165" s="36" t="str">
        <x:v>CTX_535364ea-05bd-46ea-9937-9f55c68507e8</x:v>
      </x:c>
      <x:c r="K165" s="36" t="str">
        <x:v>LTM_535364ea-05bd-46ea-9937-9f55c68507e8</x:v>
      </x:c>
      <x:c r="L165" s="36" t="str"/>
      <x:c r="M165" s="36" t="str"/>
      <x:c r="N165" s="36" t="str">
        <x:v>可复用模板</x:v>
      </x:c>
      <x:c r="O165" s="36" t="str">
        <x:v>长期</x:v>
      </x:c>
      <x:c r="P165" s="36" t="str">
        <x:v>["libreoffice_calc"]</x:v>
      </x:c>
      <x:c r="Q165" s="36" t="str">
        <x:v>[{"step_id":"S1","app":"libreoffice_calc","action_key":"create_product_and_channel_revenue_pivots","input_artifacts":["SummerSales.xlsx"],"output_artifacts":["SummerSales.xlsx"],"depends_on":[]}]</x:v>
      </x:c>
      <x:c r="R165" s="36" t="str">
        <x:v>[]</x:v>
      </x:c>
      <x:c r="S165" s="36" t="str">
        <x:v>create_product_and_channel_revenue_pivots</x:v>
      </x:c>
      <x:c r="T165" s="36" t="str">
        <x:v>SummerSales.xlsx</x:v>
      </x:c>
      <x:c r="U165" s="36" t="str">
        <x:v>retrieve_and_execute</x:v>
      </x:c>
      <x:c r="V165" s="36" t="str">
        <x:v>[{"point_id":"P1","description":"主要处理方式与预期动作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x:v>
      </x:c>
      <x:c r="W165" s="36" t="str">
        <x:v>1.00</x:v>
      </x:c>
      <x:c r="X165" s="39" t="str">
        <x:v>汇报需要产品视角和渠道视角各一份，不用放到同一张交叉表里。</x:v>
      </x:c>
      <x:c r="Y165" s="39" t="str">
        <x:v>第1条记忆（长期/可复用模板）：在 SummerSales.xlsx 新建 Sheet2，创建两张数据透视表，分别汇总每种产品的总收入和每个销售渠道的总收入。关键约束：必须有两张透视表；分别按产品和销售渠道汇总；目标为 Sheet2。</x:v>
      </x:c>
      <x:c r="Z165" s="39" t="str">
        <x:v>不适用：当前题目不存在需要用户进一步选择的候选记忆。</x:v>
      </x:c>
      <x:c r="AA165" s="39" t="str">
        <x:v>不适用：当前题目没有指定需要排除的冲突或禁止记忆。</x:v>
      </x:c>
      <x:c r="AB165" s="39" t="str">
        <x:v>应执行以下操作：在 SummerSales.xlsx 新建 Sheet2，创建两张数据透视表，分别汇总每种产品的总收入和每个销售渠道的总收入。</x:v>
      </x:c>
      <x:c r="AC165" s="39" t="str">
        <x:v>第1项实际操作：在 SummerSales.xlsx 新建 Sheet2，创建两张数据透视表，分别汇总每种产品的总收入和每个销售渠道的总收入。执行时必须满足：必须有两张透视表；分别按产品和销售渠道汇总；目标为 Sheet2。</x:v>
      </x:c>
      <x:c r="AD165" s="39" t="str">
        <x:v>用户的完整请求是：“汇报需要产品视角和渠道视角各一份，不用放到同一张交叉表里。”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x:v>
      </x:c>
      <x:c r="AE16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165" s="50" t="str">
        <x:v>not_pass</x:v>
      </x:c>
      <x:c r="AG165" s="50" t="n">
        <x:v>0</x:v>
      </x:c>
    </x:row>
    <x:row r="166" ht="165" customHeight="1">
      <x:c r="A166" s="35" t="str">
        <x:v>535364ea-05bd-46ea-9937-9f55c68507e8_HQ5</x:v>
      </x:c>
      <x:c r="B166" s="36" t="str">
        <x:v>SG_TASK_535364ea-05bd-46ea-9937-9f55c68507e8</x:v>
      </x:c>
      <x:c r="C166" s="36" t="str">
        <x:v>535364ea-05bd-46ea-9937-9f55c68507e8</x:v>
      </x:c>
      <x:c r="D166" s="36" t="str">
        <x:v>SummerSales.xlsx</x:v>
      </x:c>
      <x:c r="E166" s="36" t="str">
        <x:v>single_memory</x:v>
      </x:c>
      <x:c r="F166" s="36" t="str">
        <x:v>human_constraint_emphasis</x:v>
      </x:c>
      <x:c r="G166" s="36" t="str">
        <x:v>test</x:v>
      </x:c>
      <x:c r="H166" s="36" t="str">
        <x:v>困难</x:v>
      </x:c>
      <x:c r="I166" s="36" t="str">
        <x:v>535364ea-05bd-46ea-9937-9f55c68507e8</x:v>
      </x:c>
      <x:c r="J166" s="36" t="str">
        <x:v>CTX_535364ea-05bd-46ea-9937-9f55c68507e8</x:v>
      </x:c>
      <x:c r="K166" s="36" t="str">
        <x:v>LTM_535364ea-05bd-46ea-9937-9f55c68507e8</x:v>
      </x:c>
      <x:c r="L166" s="36" t="str"/>
      <x:c r="M166" s="36" t="str"/>
      <x:c r="N166" s="36" t="str">
        <x:v>可复用模板</x:v>
      </x:c>
      <x:c r="O166" s="36" t="str">
        <x:v>长期</x:v>
      </x:c>
      <x:c r="P166" s="36" t="str">
        <x:v>["libreoffice_calc"]</x:v>
      </x:c>
      <x:c r="Q166" s="36" t="str">
        <x:v>[{"step_id":"S1","app":"libreoffice_calc","action_key":"create_product_and_channel_revenue_pivots","input_artifacts":["SummerSales.xlsx"],"output_artifacts":["SummerSales.xlsx"],"depends_on":[]}]</x:v>
      </x:c>
      <x:c r="R166" s="36" t="str">
        <x:v>[]</x:v>
      </x:c>
      <x:c r="S166" s="36" t="str">
        <x:v>create_product_and_channel_revenue_pivots</x:v>
      </x:c>
      <x:c r="T166" s="36" t="str">
        <x:v>SummerSales.xlsx</x:v>
      </x:c>
      <x:c r="U166" s="36" t="str">
        <x:v>retrieve_and_execute</x:v>
      </x:c>
      <x:c r="V166" s="36" t="str">
        <x:v>[{"point_id":"P1","description":"主要处理方式与预期动作 create_product_and_channel_revenue_pivots 语义一致","weight":0.4,"evidence_memory_ids":["LTM_535364ea-05bd-46ea-9937-9f55c68507e8"]},{"point_id":"P2","description":"正确定位目标对象 SummerSales.xlsx","weight":0.2,"evidence_memory_ids":["LTM_535364ea-05bd-46ea-9937-9f55c68507e8"]},{"point_id":"P3","description":"满足关键条件：必须有两张透视表；分别按产品和销售渠道汇总；目标为 Sheet2","weight":0.3,"evidence_memory_ids":["LTM_535364ea-05bd-46ea-9937-9f55c68507e8"]},{"point_id":"P4","description":"不增加无记忆证据支持的操作","weight":0.1,"evidence_memory_ids":["LTM_535364ea-05bd-46ea-9937-9f55c68507e8"]}]</x:v>
      </x:c>
      <x:c r="W166" s="36" t="str">
        <x:v>1.00</x:v>
      </x:c>
      <x:c r="X166" s="39" t="str">
        <x:v>Sheet2 建两张透视表：product total revenue 和 sales channel total revenue。</x:v>
      </x:c>
      <x:c r="Y166" s="39" t="str">
        <x:v>第1条记忆（长期/可复用模板）：在 SummerSales.xlsx 新建 Sheet2，创建两张数据透视表，分别汇总每种产品的总收入和每个销售渠道的总收入。关键约束：必须有两张透视表；分别按产品和销售渠道汇总；目标为 Sheet2。</x:v>
      </x:c>
      <x:c r="Z166" s="39" t="str">
        <x:v>不适用：当前题目不存在需要用户进一步选择的候选记忆。</x:v>
      </x:c>
      <x:c r="AA166" s="39" t="str">
        <x:v>不适用：当前题目没有指定需要排除的冲突或禁止记忆。</x:v>
      </x:c>
      <x:c r="AB166" s="39" t="str">
        <x:v>应执行以下操作：在 SummerSales.xlsx 新建 Sheet2，创建两张数据透视表，分别汇总每种产品的总收入和每个销售渠道的总收入。</x:v>
      </x:c>
      <x:c r="AC166" s="39" t="str">
        <x:v>第1项实际操作：在 SummerSales.xlsx 新建 Sheet2，创建两张数据透视表，分别汇总每种产品的总收入和每个销售渠道的总收入。执行时必须满足：必须有两张透视表；分别按产品和销售渠道汇总；目标为 Sheet2。</x:v>
      </x:c>
      <x:c r="AD166" s="39" t="str">
        <x:v>用户的完整请求是：“Sheet2 建两张透视表：product total revenue 和 sales channel total revenue。” 第1个当前上下文：SummerSales.xlsx 已在 LibreOffice Calc 中打开。 当前请求是在已有办公上下文中继续、复用或重新强调既有处理方式。与该请求唯一对应的完整必需记忆如下：
第1条记忆（长期/可复用模板）：在 SummerSales.xlsx 新建 Sheet2，创建两张数据透视表，分别汇总每种产品的总收入和每个销售渠道的总收入。关键约束：必须有两张透视表；分别按产品和销售渠道汇总；目标为 Sheet2。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SummerSales.xlsx 新建 Sheet2，创建两张数据透视表，分别汇总每种产品的总收入和每个销售渠道的总收入。”</x:v>
      </x:c>
      <x:c r="AE16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第2个得分点（0.20分）：正确定位目标对象 SummerSales.xlsx。该得分点所依据的完整证据为：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第3个得分点（0.30分）：满足关键条件：必须有两张透视表；分别按产品和销售渠道汇总；目标为 Sheet2。该得分点所依据的完整证据为：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第4个得分点（0.10分）：不增加无记忆证据支持的操作。该得分点所依据的完整证据为：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166" s="50" t="str">
        <x:v>not_pass</x:v>
      </x:c>
      <x:c r="AG166" s="50" t="n">
        <x:v>0</x:v>
      </x:c>
    </x:row>
    <x:row r="167" ht="175.5" customHeight="1">
      <x:c r="A167" s="35" t="str">
        <x:v>6054afcb-5bab-4702-90a0-b259b5d3217c_HQ1</x:v>
      </x:c>
      <x:c r="B167" s="36" t="str">
        <x:v>SG_TASK_6054afcb-5bab-4702-90a0-b259b5d3217c</x:v>
      </x:c>
      <x:c r="C167" s="36" t="str">
        <x:v>6054afcb-5bab-4702-90a0-b259b5d3217c</x:v>
      </x:c>
      <x:c r="D167" s="36" t="str">
        <x:v>Date_Budget_Variance_HideNA.xlsx</x:v>
      </x:c>
      <x:c r="E167" s="36" t="str">
        <x:v>single_memory</x:v>
      </x:c>
      <x:c r="F167" s="36" t="str">
        <x:v>human_context_explicit</x:v>
      </x:c>
      <x:c r="G167" s="36" t="str">
        <x:v>dev</x:v>
      </x:c>
      <x:c r="H167" s="36" t="str">
        <x:v>简单</x:v>
      </x:c>
      <x:c r="I167" s="36" t="str">
        <x:v>6054afcb-5bab-4702-90a0-b259b5d3217c</x:v>
      </x:c>
      <x:c r="J167" s="36" t="str">
        <x:v>CTX_6054afcb-5bab-4702-90a0-b259b5d3217c</x:v>
      </x:c>
      <x:c r="K167" s="36" t="str">
        <x:v>STM_6054afcb-5bab-4702-90a0-b259b5d3217c</x:v>
      </x:c>
      <x:c r="L167" s="36" t="str"/>
      <x:c r="M167" s="36" t="str"/>
      <x:c r="N167" s="36" t="str">
        <x:v>工作流程</x:v>
      </x:c>
      <x:c r="O167" s="36" t="str">
        <x:v>短期</x:v>
      </x:c>
      <x:c r="P167" s="36" t="str">
        <x:v>["libreoffice_calc"]</x:v>
      </x:c>
      <x:c r="Q167" s="36" t="str">
        <x:v>[{"step_id":"S1","app":"libreoffice_calc","action_key":"hide_na_display_without_deleting","input_artifacts":["Date_Budget_Variance_HideNA.xlsx"],"output_artifacts":["Date_Budget_Variance_HideNA.xlsx"],"depends_on":[]}]</x:v>
      </x:c>
      <x:c r="R167" s="36" t="str">
        <x:v>[]</x:v>
      </x:c>
      <x:c r="S167" s="36" t="str">
        <x:v>hide_na_display_without_deleting</x:v>
      </x:c>
      <x:c r="T167" s="36" t="str">
        <x:v>Date_Budget_Variance_HideNA.xlsx</x:v>
      </x:c>
      <x:c r="U167" s="36" t="str">
        <x:v>retrieve_and_execute</x:v>
      </x:c>
      <x:c r="V167" s="36" t="str">
        <x:v>[{"point_id":"P1","description":"主要处理方式与预期动作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x:v>
      </x:c>
      <x:c r="W167" s="36" t="str">
        <x:v>1.00</x:v>
      </x:c>
      <x:c r="X167" s="39" t="str">
        <x:v>Date_Budget_Variance_HideNA.xlsx 里的 N/A 先按之前的方法藏起来，数据别删，也不要筛选。</x:v>
      </x:c>
      <x:c r="Y167" s="39" t="str">
        <x:v>第1条记忆（短期/工作流程）：在 Date_Budget_Variance_HideNA.xlsx 中暂时隐藏表格里的 N/A 显示，但不删除任何单元格，也不使用筛选功能。关键约束：不得删除单元格；不得使用筛选；只隐藏 N/A 的可见显示。</x:v>
      </x:c>
      <x:c r="Z167" s="39" t="str">
        <x:v>不适用：当前题目不存在需要用户进一步选择的候选记忆。</x:v>
      </x:c>
      <x:c r="AA167" s="39" t="str">
        <x:v>不适用：当前题目没有指定需要排除的冲突或禁止记忆。</x:v>
      </x:c>
      <x:c r="AB167" s="39" t="str">
        <x:v>应执行以下操作：在 Date_Budget_Variance_HideNA.xlsx 中暂时隐藏表格里的 N/A 显示，但不删除任何单元格，也不使用筛选功能。</x:v>
      </x:c>
      <x:c r="AC167" s="39" t="str">
        <x:v>第1项实际操作：在 Date_Budget_Variance_HideNA.xlsx 中暂时隐藏表格里的 N/A 显示，但不删除任何单元格，也不使用筛选功能。执行时必须满足：不得删除单元格；不得使用筛选；只隐藏 N/A 的可见显示。</x:v>
      </x:c>
      <x:c r="AD167" s="39" t="str">
        <x:v>用户的完整请求是：“Date_Budget_Variance_HideNA.xlsx 里的 N/A 先按之前的方法藏起来，数据别删，也不要筛选。”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x:v>
      </x:c>
      <x:c r="AE16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167" s="50" t="str">
        <x:v>not_pass</x:v>
      </x:c>
      <x:c r="AG167" s="50" t="n">
        <x:v>0</x:v>
      </x:c>
    </x:row>
    <x:row r="168" ht="175.5" customHeight="1">
      <x:c r="A168" s="35" t="str">
        <x:v>6054afcb-5bab-4702-90a0-b259b5d3217c_HQ2</x:v>
      </x:c>
      <x:c r="B168" s="36" t="str">
        <x:v>SG_TASK_6054afcb-5bab-4702-90a0-b259b5d3217c</x:v>
      </x:c>
      <x:c r="C168" s="36" t="str">
        <x:v>6054afcb-5bab-4702-90a0-b259b5d3217c</x:v>
      </x:c>
      <x:c r="D168" s="36" t="str">
        <x:v>Date_Budget_Variance_HideNA.xlsx</x:v>
      </x:c>
      <x:c r="E168" s="36" t="str">
        <x:v>single_memory</x:v>
      </x:c>
      <x:c r="F168" s="36" t="str">
        <x:v>human_goal_oriented</x:v>
      </x:c>
      <x:c r="G168" s="36" t="str">
        <x:v>dev</x:v>
      </x:c>
      <x:c r="H168" s="36" t="str">
        <x:v>中等</x:v>
      </x:c>
      <x:c r="I168" s="36" t="str">
        <x:v>6054afcb-5bab-4702-90a0-b259b5d3217c</x:v>
      </x:c>
      <x:c r="J168" s="36" t="str">
        <x:v>CTX_6054afcb-5bab-4702-90a0-b259b5d3217c</x:v>
      </x:c>
      <x:c r="K168" s="36" t="str">
        <x:v>STM_6054afcb-5bab-4702-90a0-b259b5d3217c</x:v>
      </x:c>
      <x:c r="L168" s="36" t="str"/>
      <x:c r="M168" s="36" t="str"/>
      <x:c r="N168" s="36" t="str">
        <x:v>工作流程</x:v>
      </x:c>
      <x:c r="O168" s="36" t="str">
        <x:v>短期</x:v>
      </x:c>
      <x:c r="P168" s="36" t="str">
        <x:v>["libreoffice_calc"]</x:v>
      </x:c>
      <x:c r="Q168" s="36" t="str">
        <x:v>[{"step_id":"S1","app":"libreoffice_calc","action_key":"hide_na_display_without_deleting","input_artifacts":["Date_Budget_Variance_HideNA.xlsx"],"output_artifacts":["Date_Budget_Variance_HideNA.xlsx"],"depends_on":[]}]</x:v>
      </x:c>
      <x:c r="R168" s="36" t="str">
        <x:v>[]</x:v>
      </x:c>
      <x:c r="S168" s="36" t="str">
        <x:v>hide_na_display_without_deleting</x:v>
      </x:c>
      <x:c r="T168" s="36" t="str">
        <x:v>Date_Budget_Variance_HideNA.xlsx</x:v>
      </x:c>
      <x:c r="U168" s="36" t="str">
        <x:v>retrieve_and_execute</x:v>
      </x:c>
      <x:c r="V168" s="36" t="str">
        <x:v>[{"point_id":"P1","description":"主要处理方式与预期动作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x:v>
      </x:c>
      <x:c r="W168" s="36" t="str">
        <x:v>1.00</x:v>
      </x:c>
      <x:c r="X168" s="39" t="str">
        <x:v>有些预算数据还没到，我暂时不想在表里看到 N/A，但以后还要恢复。</x:v>
      </x:c>
      <x:c r="Y168" s="39" t="str">
        <x:v>第1条记忆（短期/工作流程）：在 Date_Budget_Variance_HideNA.xlsx 中暂时隐藏表格里的 N/A 显示，但不删除任何单元格，也不使用筛选功能。关键约束：不得删除单元格；不得使用筛选；只隐藏 N/A 的可见显示。</x:v>
      </x:c>
      <x:c r="Z168" s="39" t="str">
        <x:v>不适用：当前题目不存在需要用户进一步选择的候选记忆。</x:v>
      </x:c>
      <x:c r="AA168" s="39" t="str">
        <x:v>不适用：当前题目没有指定需要排除的冲突或禁止记忆。</x:v>
      </x:c>
      <x:c r="AB168" s="39" t="str">
        <x:v>应执行以下操作：在 Date_Budget_Variance_HideNA.xlsx 中暂时隐藏表格里的 N/A 显示，但不删除任何单元格，也不使用筛选功能。</x:v>
      </x:c>
      <x:c r="AC168" s="39" t="str">
        <x:v>第1项实际操作：在 Date_Budget_Variance_HideNA.xlsx 中暂时隐藏表格里的 N/A 显示，但不删除任何单元格，也不使用筛选功能。执行时必须满足：不得删除单元格；不得使用筛选；只隐藏 N/A 的可见显示。</x:v>
      </x:c>
      <x:c r="AD168" s="39" t="str">
        <x:v>用户的完整请求是：“有些预算数据还没到，我暂时不想在表里看到 N/A，但以后还要恢复。”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x:v>
      </x:c>
      <x:c r="AE16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168" s="50" t="str">
        <x:v>not_pass</x:v>
      </x:c>
      <x:c r="AG168" s="50" t="n">
        <x:v>0</x:v>
      </x:c>
    </x:row>
    <x:row r="169" ht="175.5" customHeight="1">
      <x:c r="A169" s="35" t="str">
        <x:v>6054afcb-5bab-4702-90a0-b259b5d3217c_HQ3</x:v>
      </x:c>
      <x:c r="B169" s="36" t="str">
        <x:v>SG_TASK_6054afcb-5bab-4702-90a0-b259b5d3217c</x:v>
      </x:c>
      <x:c r="C169" s="36" t="str">
        <x:v>6054afcb-5bab-4702-90a0-b259b5d3217c</x:v>
      </x:c>
      <x:c r="D169" s="36" t="str">
        <x:v>Date_Budget_Variance_HideNA.xlsx</x:v>
      </x:c>
      <x:c r="E169" s="36" t="str">
        <x:v>single_memory</x:v>
      </x:c>
      <x:c r="F169" s="36" t="str">
        <x:v>contextual_ellipsis</x:v>
      </x:c>
      <x:c r="G169" s="36" t="str">
        <x:v>dev</x:v>
      </x:c>
      <x:c r="H169" s="36" t="str">
        <x:v>中等</x:v>
      </x:c>
      <x:c r="I169" s="36" t="str">
        <x:v>6054afcb-5bab-4702-90a0-b259b5d3217c</x:v>
      </x:c>
      <x:c r="J169" s="36" t="str">
        <x:v>CTX_6054afcb-5bab-4702-90a0-b259b5d3217c</x:v>
      </x:c>
      <x:c r="K169" s="36" t="str">
        <x:v>STM_6054afcb-5bab-4702-90a0-b259b5d3217c</x:v>
      </x:c>
      <x:c r="L169" s="36" t="str"/>
      <x:c r="M169" s="36" t="str"/>
      <x:c r="N169" s="36" t="str">
        <x:v>工作流程</x:v>
      </x:c>
      <x:c r="O169" s="36" t="str">
        <x:v>短期</x:v>
      </x:c>
      <x:c r="P169" s="36" t="str">
        <x:v>["libreoffice_calc"]</x:v>
      </x:c>
      <x:c r="Q169" s="36" t="str">
        <x:v>[{"step_id":"S1","app":"libreoffice_calc","action_key":"hide_na_display_without_deleting","input_artifacts":["Date_Budget_Variance_HideNA.xlsx"],"output_artifacts":["Date_Budget_Variance_HideNA.xlsx"],"depends_on":[]}]</x:v>
      </x:c>
      <x:c r="R169" s="36" t="str">
        <x:v>[]</x:v>
      </x:c>
      <x:c r="S169" s="36" t="str">
        <x:v>hide_na_display_without_deleting</x:v>
      </x:c>
      <x:c r="T169" s="36" t="str">
        <x:v>Date_Budget_Variance_HideNA.xlsx</x:v>
      </x:c>
      <x:c r="U169" s="36" t="str">
        <x:v>retrieve_and_execute</x:v>
      </x:c>
      <x:c r="V169" s="36" t="str">
        <x:v>[{"point_id":"P1","description":"主要处理方式与预期动作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x:v>
      </x:c>
      <x:c r="W169" s="36" t="str">
        <x:v>1.00</x:v>
      </x:c>
      <x:c r="X169" s="39" t="str">
        <x:v>当前预算差异表继续做显示隐藏，只处理 N/A。</x:v>
      </x:c>
      <x:c r="Y169" s="39" t="str">
        <x:v>第1条记忆（短期/工作流程）：在 Date_Budget_Variance_HideNA.xlsx 中暂时隐藏表格里的 N/A 显示，但不删除任何单元格，也不使用筛选功能。关键约束：不得删除单元格；不得使用筛选；只隐藏 N/A 的可见显示。</x:v>
      </x:c>
      <x:c r="Z169" s="39" t="str">
        <x:v>不适用：当前题目不存在需要用户进一步选择的候选记忆。</x:v>
      </x:c>
      <x:c r="AA169" s="39" t="str">
        <x:v>不适用：当前题目没有指定需要排除的冲突或禁止记忆。</x:v>
      </x:c>
      <x:c r="AB169" s="39" t="str">
        <x:v>应执行以下操作：在 Date_Budget_Variance_HideNA.xlsx 中暂时隐藏表格里的 N/A 显示，但不删除任何单元格，也不使用筛选功能。</x:v>
      </x:c>
      <x:c r="AC169" s="39" t="str">
        <x:v>第1项实际操作：在 Date_Budget_Variance_HideNA.xlsx 中暂时隐藏表格里的 N/A 显示，但不删除任何单元格，也不使用筛选功能。执行时必须满足：不得删除单元格；不得使用筛选；只隐藏 N/A 的可见显示。</x:v>
      </x:c>
      <x:c r="AD169" s="39" t="str">
        <x:v>用户的完整请求是：“当前预算差异表继续做显示隐藏，只处理 N/A。”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x:v>
      </x:c>
      <x:c r="AE16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169" s="50" t="str">
        <x:v>not_pass</x:v>
      </x:c>
      <x:c r="AG169" s="50" t="n">
        <x:v>0</x:v>
      </x:c>
    </x:row>
    <x:row r="170" ht="175.5" customHeight="1">
      <x:c r="A170" s="35" t="str">
        <x:v>6054afcb-5bab-4702-90a0-b259b5d3217c_HQ4</x:v>
      </x:c>
      <x:c r="B170" s="36" t="str">
        <x:v>SG_TASK_6054afcb-5bab-4702-90a0-b259b5d3217c</x:v>
      </x:c>
      <x:c r="C170" s="36" t="str">
        <x:v>6054afcb-5bab-4702-90a0-b259b5d3217c</x:v>
      </x:c>
      <x:c r="D170" s="36" t="str">
        <x:v>Date_Budget_Variance_HideNA.xlsx</x:v>
      </x:c>
      <x:c r="E170" s="36" t="str">
        <x:v>single_memory</x:v>
      </x:c>
      <x:c r="F170" s="36" t="str">
        <x:v>low_overlap_paraphrase</x:v>
      </x:c>
      <x:c r="G170" s="36" t="str">
        <x:v>dev</x:v>
      </x:c>
      <x:c r="H170" s="36" t="str">
        <x:v>困难</x:v>
      </x:c>
      <x:c r="I170" s="36" t="str">
        <x:v>6054afcb-5bab-4702-90a0-b259b5d3217c</x:v>
      </x:c>
      <x:c r="J170" s="36" t="str">
        <x:v>CTX_6054afcb-5bab-4702-90a0-b259b5d3217c</x:v>
      </x:c>
      <x:c r="K170" s="36" t="str">
        <x:v>STM_6054afcb-5bab-4702-90a0-b259b5d3217c</x:v>
      </x:c>
      <x:c r="L170" s="36" t="str"/>
      <x:c r="M170" s="36" t="str"/>
      <x:c r="N170" s="36" t="str">
        <x:v>工作流程</x:v>
      </x:c>
      <x:c r="O170" s="36" t="str">
        <x:v>短期</x:v>
      </x:c>
      <x:c r="P170" s="36" t="str">
        <x:v>["libreoffice_calc"]</x:v>
      </x:c>
      <x:c r="Q170" s="36" t="str">
        <x:v>[{"step_id":"S1","app":"libreoffice_calc","action_key":"hide_na_display_without_deleting","input_artifacts":["Date_Budget_Variance_HideNA.xlsx"],"output_artifacts":["Date_Budget_Variance_HideNA.xlsx"],"depends_on":[]}]</x:v>
      </x:c>
      <x:c r="R170" s="36" t="str">
        <x:v>[]</x:v>
      </x:c>
      <x:c r="S170" s="36" t="str">
        <x:v>hide_na_display_without_deleting</x:v>
      </x:c>
      <x:c r="T170" s="36" t="str">
        <x:v>Date_Budget_Variance_HideNA.xlsx</x:v>
      </x:c>
      <x:c r="U170" s="36" t="str">
        <x:v>retrieve_and_execute</x:v>
      </x:c>
      <x:c r="V170" s="36" t="str">
        <x:v>[{"point_id":"P1","description":"主要处理方式与预期动作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x:v>
      </x:c>
      <x:c r="W170" s="36" t="str">
        <x:v>1.00</x:v>
      </x:c>
      <x:c r="X170" s="39" t="str">
        <x:v>这份表要拿去展示，缺失占位符先别露出来，但底层单元格必须保留。</x:v>
      </x:c>
      <x:c r="Y170" s="39" t="str">
        <x:v>第1条记忆（短期/工作流程）：在 Date_Budget_Variance_HideNA.xlsx 中暂时隐藏表格里的 N/A 显示，但不删除任何单元格，也不使用筛选功能。关键约束：不得删除单元格；不得使用筛选；只隐藏 N/A 的可见显示。</x:v>
      </x:c>
      <x:c r="Z170" s="39" t="str">
        <x:v>不适用：当前题目不存在需要用户进一步选择的候选记忆。</x:v>
      </x:c>
      <x:c r="AA170" s="39" t="str">
        <x:v>不适用：当前题目没有指定需要排除的冲突或禁止记忆。</x:v>
      </x:c>
      <x:c r="AB170" s="39" t="str">
        <x:v>应执行以下操作：在 Date_Budget_Variance_HideNA.xlsx 中暂时隐藏表格里的 N/A 显示，但不删除任何单元格，也不使用筛选功能。</x:v>
      </x:c>
      <x:c r="AC170" s="39" t="str">
        <x:v>第1项实际操作：在 Date_Budget_Variance_HideNA.xlsx 中暂时隐藏表格里的 N/A 显示，但不删除任何单元格，也不使用筛选功能。执行时必须满足：不得删除单元格；不得使用筛选；只隐藏 N/A 的可见显示。</x:v>
      </x:c>
      <x:c r="AD170" s="39" t="str">
        <x:v>用户的完整请求是：“这份表要拿去展示，缺失占位符先别露出来，但底层单元格必须保留。”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x:v>
      </x:c>
      <x:c r="AE17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170" s="50" t="str">
        <x:v>not_pass</x:v>
      </x:c>
      <x:c r="AG170" s="50" t="n">
        <x:v>0</x:v>
      </x:c>
    </x:row>
    <x:row r="171" ht="175.5" customHeight="1">
      <x:c r="A171" s="35" t="str">
        <x:v>6054afcb-5bab-4702-90a0-b259b5d3217c_HQ5</x:v>
      </x:c>
      <x:c r="B171" s="36" t="str">
        <x:v>SG_TASK_6054afcb-5bab-4702-90a0-b259b5d3217c</x:v>
      </x:c>
      <x:c r="C171" s="36" t="str">
        <x:v>6054afcb-5bab-4702-90a0-b259b5d3217c</x:v>
      </x:c>
      <x:c r="D171" s="36" t="str">
        <x:v>Date_Budget_Variance_HideNA.xlsx</x:v>
      </x:c>
      <x:c r="E171" s="36" t="str">
        <x:v>single_memory</x:v>
      </x:c>
      <x:c r="F171" s="36" t="str">
        <x:v>human_constraint_emphasis</x:v>
      </x:c>
      <x:c r="G171" s="36" t="str">
        <x:v>dev</x:v>
      </x:c>
      <x:c r="H171" s="36" t="str">
        <x:v>困难</x:v>
      </x:c>
      <x:c r="I171" s="36" t="str">
        <x:v>6054afcb-5bab-4702-90a0-b259b5d3217c</x:v>
      </x:c>
      <x:c r="J171" s="36" t="str">
        <x:v>CTX_6054afcb-5bab-4702-90a0-b259b5d3217c</x:v>
      </x:c>
      <x:c r="K171" s="36" t="str">
        <x:v>STM_6054afcb-5bab-4702-90a0-b259b5d3217c</x:v>
      </x:c>
      <x:c r="L171" s="36" t="str"/>
      <x:c r="M171" s="36" t="str"/>
      <x:c r="N171" s="36" t="str">
        <x:v>工作流程</x:v>
      </x:c>
      <x:c r="O171" s="36" t="str">
        <x:v>短期</x:v>
      </x:c>
      <x:c r="P171" s="36" t="str">
        <x:v>["libreoffice_calc"]</x:v>
      </x:c>
      <x:c r="Q171" s="36" t="str">
        <x:v>[{"step_id":"S1","app":"libreoffice_calc","action_key":"hide_na_display_without_deleting","input_artifacts":["Date_Budget_Variance_HideNA.xlsx"],"output_artifacts":["Date_Budget_Variance_HideNA.xlsx"],"depends_on":[]}]</x:v>
      </x:c>
      <x:c r="R171" s="36" t="str">
        <x:v>[]</x:v>
      </x:c>
      <x:c r="S171" s="36" t="str">
        <x:v>hide_na_display_without_deleting</x:v>
      </x:c>
      <x:c r="T171" s="36" t="str">
        <x:v>Date_Budget_Variance_HideNA.xlsx</x:v>
      </x:c>
      <x:c r="U171" s="36" t="str">
        <x:v>retrieve_and_execute</x:v>
      </x:c>
      <x:c r="V171" s="36" t="str">
        <x:v>[{"point_id":"P1","description":"主要处理方式与预期动作 hide_na_display_without_deleting 语义一致","weight":0.4,"evidence_memory_ids":["STM_6054afcb-5bab-4702-90a0-b259b5d3217c"]},{"point_id":"P2","description":"正确定位目标对象 Date_Budget_Variance_HideNA.xlsx","weight":0.2,"evidence_memory_ids":["STM_6054afcb-5bab-4702-90a0-b259b5d3217c"]},{"point_id":"P3","description":"满足关键条件：不得删除单元格；不得使用筛选；只隐藏 N/A 的可见显示","weight":0.3,"evidence_memory_ids":["STM_6054afcb-5bab-4702-90a0-b259b5d3217c"]},{"point_id":"P4","description":"不增加无记忆证据支持的操作","weight":0.1,"evidence_memory_ids":["STM_6054afcb-5bab-4702-90a0-b259b5d3217c"]}]</x:v>
      </x:c>
      <x:c r="W171" s="36" t="str">
        <x:v>1.00</x:v>
      </x:c>
      <x:c r="X171" s="39" t="str">
        <x:v>N/A 只隐藏显示，不能 delete，也别用 filter 改变行记录。</x:v>
      </x:c>
      <x:c r="Y171" s="39" t="str">
        <x:v>第1条记忆（短期/工作流程）：在 Date_Budget_Variance_HideNA.xlsx 中暂时隐藏表格里的 N/A 显示，但不删除任何单元格，也不使用筛选功能。关键约束：不得删除单元格；不得使用筛选；只隐藏 N/A 的可见显示。</x:v>
      </x:c>
      <x:c r="Z171" s="39" t="str">
        <x:v>不适用：当前题目不存在需要用户进一步选择的候选记忆。</x:v>
      </x:c>
      <x:c r="AA171" s="39" t="str">
        <x:v>不适用：当前题目没有指定需要排除的冲突或禁止记忆。</x:v>
      </x:c>
      <x:c r="AB171" s="39" t="str">
        <x:v>应执行以下操作：在 Date_Budget_Variance_HideNA.xlsx 中暂时隐藏表格里的 N/A 显示，但不删除任何单元格，也不使用筛选功能。</x:v>
      </x:c>
      <x:c r="AC171" s="39" t="str">
        <x:v>第1项实际操作：在 Date_Budget_Variance_HideNA.xlsx 中暂时隐藏表格里的 N/A 显示，但不删除任何单元格，也不使用筛选功能。执行时必须满足：不得删除单元格；不得使用筛选；只隐藏 N/A 的可见显示。</x:v>
      </x:c>
      <x:c r="AD171" s="39" t="str">
        <x:v>用户的完整请求是：“N/A 只隐藏显示，不能 delete，也别用 filter 改变行记录。” 第1个当前上下文：Date_Budget_Variance_HideNA.xlsx 已在 LibreOffice Calc 中打开。 当前请求是在已有办公上下文中继续、复用或重新强调既有处理方式。与该请求唯一对应的完整必需记忆如下：
第1条记忆（短期/工作流程）：在 Date_Budget_Variance_HideNA.xlsx 中暂时隐藏表格里的 N/A 显示，但不删除任何单元格，也不使用筛选功能。关键约束：不得删除单元格；不得使用筛选；只隐藏 N/A 的可见显示。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Date_Budget_Variance_HideNA.xlsx 中暂时隐藏表格里的 N/A 显示，但不删除任何单元格，也不使用筛选功能。”</x:v>
      </x:c>
      <x:c r="AE17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Date_Budget_Variance_HideNA.xlsx 中暂时隐藏表格里的 N/A 显示，但不删除任何单元格，也不使用筛选功能。关键约束：不得删除单元格；不得使用筛选；只隐藏 N/A 的可见显示。
第2个得分点（0.20分）：正确定位目标对象 Date_Budget_Variance_HideNA.xlsx。该得分点所依据的完整证据为：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第3个得分点（0.30分）：满足关键条件：不得删除单元格；不得使用筛选；只隐藏 N/A 的可见显示。该得分点所依据的完整证据为：
第1条记忆（短期/工作流程）：在 Date_Budget_Variance_HideNA.xlsx 中暂时隐藏表格里的 N/A 显示，但不删除任何单元格，也不使用筛选功能。关键约束：不得删除单元格；不得使用筛选；只隐藏 N/A 的可见显示。
第4个得分点（0.10分）：不增加无记忆证据支持的操作。该得分点所依据的完整证据为：
第1条记忆（短期/工作流程）：在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171" s="50" t="str">
        <x:v>not_pass</x:v>
      </x:c>
      <x:c r="AG171" s="50" t="n">
        <x:v>0</x:v>
      </x:c>
    </x:row>
    <x:row r="172" ht="165" customHeight="1">
      <x:c r="A172" s="35" t="str">
        <x:v>6e99a1ad-07d2-4b66-a1ce-ece6d99c20a5_HQ1</x:v>
      </x:c>
      <x:c r="B172" s="36" t="str">
        <x:v>SG_TASK_6e99a1ad-07d2-4b66-a1ce-ece6d99c20a5</x:v>
      </x:c>
      <x:c r="C172" s="36" t="str">
        <x:v>6e99a1ad-07d2-4b66-a1ce-ece6d99c20a5</x:v>
      </x:c>
      <x:c r="D172" s="36" t="str">
        <x:v>Keep_Two_decimal_points.xlsx</x:v>
      </x:c>
      <x:c r="E172" s="36" t="str">
        <x:v>single_memory</x:v>
      </x:c>
      <x:c r="F172" s="36" t="str">
        <x:v>human_context_explicit</x:v>
      </x:c>
      <x:c r="G172" s="36" t="str">
        <x:v>test</x:v>
      </x:c>
      <x:c r="H172" s="36" t="str">
        <x:v>简单</x:v>
      </x:c>
      <x:c r="I172" s="36" t="str">
        <x:v>6e99a1ad-07d2-4b66-a1ce-ece6d99c20a5</x:v>
      </x:c>
      <x:c r="J172" s="36" t="str">
        <x:v>CTX_6e99a1ad-07d2-4b66-a1ce-ece6d99c20a5</x:v>
      </x:c>
      <x:c r="K172" s="36" t="str">
        <x:v>MTM_6e99a1ad-07d2-4b66-a1ce-ece6d99c20a5</x:v>
      </x:c>
      <x:c r="L172" s="36" t="str"/>
      <x:c r="M172" s="36" t="str"/>
      <x:c r="N172" s="36" t="str">
        <x:v>可复用模板</x:v>
      </x:c>
      <x:c r="O172" s="36" t="str">
        <x:v>中期</x:v>
      </x:c>
      <x:c r="P172" s="36" t="str">
        <x:v>["libreoffice_calc"]</x:v>
      </x:c>
      <x:c r="Q172" s="36" t="str">
        <x:v>[{"step_id":"S1","app":"libreoffice_calc","action_key":"format_spent_two_decimals","input_artifacts":["Keep_Two_decimal_points.xlsx"],"output_artifacts":["[\"Keep_Two_decimal_points.xlsx\",\"Keep_Two_decimal_points-Sheet1.csv\"]"],"depends_on":[]}]</x:v>
      </x:c>
      <x:c r="R172" s="36" t="str">
        <x:v>[]</x:v>
      </x:c>
      <x:c r="S172" s="36" t="str">
        <x:v>format_spent_two_decimals</x:v>
      </x:c>
      <x:c r="T172" s="36" t="str">
        <x:v>Keep_Two_decimal_points.xlsx</x:v>
      </x:c>
      <x:c r="U172" s="36" t="str">
        <x:v>retrieve_and_execute</x:v>
      </x:c>
      <x:c r="V172" s="36" t="str">
        <x:v>[{"point_id":"P1","description":"主要处理方式与预期动作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x:v>
      </x:c>
      <x:c r="W172" s="36" t="str">
        <x:v>1.00</x:v>
      </x:c>
      <x:c r="X172" s="39" t="str">
        <x:v>Keep_Two_decimal_points.xlsx 的 spent 列按上次的金额格式统一成两位小数。</x:v>
      </x:c>
      <x:c r="Y172" s="39" t="str">
        <x:v>第1条记忆（中期/可复用模板）：在 Keep_Two_decimal_points.xlsx 中把 spent 列的显示格式统一设置为保留两位小数。关键约束：只格式化 spent 列；固定显示两位小数；不改变原数值。</x:v>
      </x:c>
      <x:c r="Z172" s="39" t="str">
        <x:v>不适用：当前题目不存在需要用户进一步选择的候选记忆。</x:v>
      </x:c>
      <x:c r="AA172" s="39" t="str">
        <x:v>不适用：当前题目没有指定需要排除的冲突或禁止记忆。</x:v>
      </x:c>
      <x:c r="AB172" s="39" t="str">
        <x:v>应执行以下操作：在 Keep_Two_decimal_points.xlsx 中把 spent 列的显示格式统一设置为保留两位小数。</x:v>
      </x:c>
      <x:c r="AC172" s="39" t="str">
        <x:v>第1项实际操作：在 Keep_Two_decimal_points.xlsx 中把 spent 列的显示格式统一设置为保留两位小数。执行时必须满足：只格式化 spent 列；固定显示两位小数；不改变原数值。</x:v>
      </x:c>
      <x:c r="AD172" s="39" t="str">
        <x:v>用户的完整请求是：“Keep_Two_decimal_points.xlsx 的 spent 列按上次的金额格式统一成两位小数。”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x:v>
      </x:c>
      <x:c r="AE17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172" s="50" t="str">
        <x:v>not_pass</x:v>
      </x:c>
      <x:c r="AG172" s="50" t="n">
        <x:v>0</x:v>
      </x:c>
    </x:row>
    <x:row r="173" ht="165" customHeight="1">
      <x:c r="A173" s="35" t="str">
        <x:v>6e99a1ad-07d2-4b66-a1ce-ece6d99c20a5_HQ2</x:v>
      </x:c>
      <x:c r="B173" s="36" t="str">
        <x:v>SG_TASK_6e99a1ad-07d2-4b66-a1ce-ece6d99c20a5</x:v>
      </x:c>
      <x:c r="C173" s="36" t="str">
        <x:v>6e99a1ad-07d2-4b66-a1ce-ece6d99c20a5</x:v>
      </x:c>
      <x:c r="D173" s="36" t="str">
        <x:v>Keep_Two_decimal_points.xlsx</x:v>
      </x:c>
      <x:c r="E173" s="36" t="str">
        <x:v>single_memory</x:v>
      </x:c>
      <x:c r="F173" s="36" t="str">
        <x:v>human_goal_oriented</x:v>
      </x:c>
      <x:c r="G173" s="36" t="str">
        <x:v>test</x:v>
      </x:c>
      <x:c r="H173" s="36" t="str">
        <x:v>中等</x:v>
      </x:c>
      <x:c r="I173" s="36" t="str">
        <x:v>6e99a1ad-07d2-4b66-a1ce-ece6d99c20a5</x:v>
      </x:c>
      <x:c r="J173" s="36" t="str">
        <x:v>CTX_6e99a1ad-07d2-4b66-a1ce-ece6d99c20a5</x:v>
      </x:c>
      <x:c r="K173" s="36" t="str">
        <x:v>MTM_6e99a1ad-07d2-4b66-a1ce-ece6d99c20a5</x:v>
      </x:c>
      <x:c r="L173" s="36" t="str"/>
      <x:c r="M173" s="36" t="str"/>
      <x:c r="N173" s="36" t="str">
        <x:v>可复用模板</x:v>
      </x:c>
      <x:c r="O173" s="36" t="str">
        <x:v>中期</x:v>
      </x:c>
      <x:c r="P173" s="36" t="str">
        <x:v>["libreoffice_calc"]</x:v>
      </x:c>
      <x:c r="Q173" s="36" t="str">
        <x:v>[{"step_id":"S1","app":"libreoffice_calc","action_key":"format_spent_two_decimals","input_artifacts":["Keep_Two_decimal_points.xlsx"],"output_artifacts":["[\"Keep_Two_decimal_points.xlsx\",\"Keep_Two_decimal_points-Sheet1.csv\"]"],"depends_on":[]}]</x:v>
      </x:c>
      <x:c r="R173" s="36" t="str">
        <x:v>[]</x:v>
      </x:c>
      <x:c r="S173" s="36" t="str">
        <x:v>format_spent_two_decimals</x:v>
      </x:c>
      <x:c r="T173" s="36" t="str">
        <x:v>Keep_Two_decimal_points.xlsx</x:v>
      </x:c>
      <x:c r="U173" s="36" t="str">
        <x:v>retrieve_and_execute</x:v>
      </x:c>
      <x:c r="V173" s="36" t="str">
        <x:v>[{"point_id":"P1","description":"主要处理方式与预期动作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x:v>
      </x:c>
      <x:c r="W173" s="36" t="str">
        <x:v>1.00</x:v>
      </x:c>
      <x:c r="X173" s="39" t="str">
        <x:v>这列支出有的整数有的小数，看起来不齐，帮我全部显示两位。</x:v>
      </x:c>
      <x:c r="Y173" s="39" t="str">
        <x:v>第1条记忆（中期/可复用模板）：在 Keep_Two_decimal_points.xlsx 中把 spent 列的显示格式统一设置为保留两位小数。关键约束：只格式化 spent 列；固定显示两位小数；不改变原数值。</x:v>
      </x:c>
      <x:c r="Z173" s="39" t="str">
        <x:v>不适用：当前题目不存在需要用户进一步选择的候选记忆。</x:v>
      </x:c>
      <x:c r="AA173" s="39" t="str">
        <x:v>不适用：当前题目没有指定需要排除的冲突或禁止记忆。</x:v>
      </x:c>
      <x:c r="AB173" s="39" t="str">
        <x:v>应执行以下操作：在 Keep_Two_decimal_points.xlsx 中把 spent 列的显示格式统一设置为保留两位小数。</x:v>
      </x:c>
      <x:c r="AC173" s="39" t="str">
        <x:v>第1项实际操作：在 Keep_Two_decimal_points.xlsx 中把 spent 列的显示格式统一设置为保留两位小数。执行时必须满足：只格式化 spent 列；固定显示两位小数；不改变原数值。</x:v>
      </x:c>
      <x:c r="AD173" s="39" t="str">
        <x:v>用户的完整请求是：“这列支出有的整数有的小数，看起来不齐，帮我全部显示两位。”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x:v>
      </x:c>
      <x:c r="AE17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173" s="50" t="str">
        <x:v>not_pass</x:v>
      </x:c>
      <x:c r="AG173" s="50" t="n">
        <x:v>0</x:v>
      </x:c>
    </x:row>
    <x:row r="174" ht="165" customHeight="1">
      <x:c r="A174" s="35" t="str">
        <x:v>6e99a1ad-07d2-4b66-a1ce-ece6d99c20a5_HQ3</x:v>
      </x:c>
      <x:c r="B174" s="36" t="str">
        <x:v>SG_TASK_6e99a1ad-07d2-4b66-a1ce-ece6d99c20a5</x:v>
      </x:c>
      <x:c r="C174" s="36" t="str">
        <x:v>6e99a1ad-07d2-4b66-a1ce-ece6d99c20a5</x:v>
      </x:c>
      <x:c r="D174" s="36" t="str">
        <x:v>Keep_Two_decimal_points.xlsx</x:v>
      </x:c>
      <x:c r="E174" s="36" t="str">
        <x:v>single_memory</x:v>
      </x:c>
      <x:c r="F174" s="36" t="str">
        <x:v>contextual_ellipsis</x:v>
      </x:c>
      <x:c r="G174" s="36" t="str">
        <x:v>test</x:v>
      </x:c>
      <x:c r="H174" s="36" t="str">
        <x:v>中等</x:v>
      </x:c>
      <x:c r="I174" s="36" t="str">
        <x:v>6e99a1ad-07d2-4b66-a1ce-ece6d99c20a5</x:v>
      </x:c>
      <x:c r="J174" s="36" t="str">
        <x:v>CTX_6e99a1ad-07d2-4b66-a1ce-ece6d99c20a5</x:v>
      </x:c>
      <x:c r="K174" s="36" t="str">
        <x:v>MTM_6e99a1ad-07d2-4b66-a1ce-ece6d99c20a5</x:v>
      </x:c>
      <x:c r="L174" s="36" t="str"/>
      <x:c r="M174" s="36" t="str"/>
      <x:c r="N174" s="36" t="str">
        <x:v>可复用模板</x:v>
      </x:c>
      <x:c r="O174" s="36" t="str">
        <x:v>中期</x:v>
      </x:c>
      <x:c r="P174" s="36" t="str">
        <x:v>["libreoffice_calc"]</x:v>
      </x:c>
      <x:c r="Q174" s="36" t="str">
        <x:v>[{"step_id":"S1","app":"libreoffice_calc","action_key":"format_spent_two_decimals","input_artifacts":["Keep_Two_decimal_points.xlsx"],"output_artifacts":["[\"Keep_Two_decimal_points.xlsx\",\"Keep_Two_decimal_points-Sheet1.csv\"]"],"depends_on":[]}]</x:v>
      </x:c>
      <x:c r="R174" s="36" t="str">
        <x:v>[]</x:v>
      </x:c>
      <x:c r="S174" s="36" t="str">
        <x:v>format_spent_two_decimals</x:v>
      </x:c>
      <x:c r="T174" s="36" t="str">
        <x:v>Keep_Two_decimal_points.xlsx</x:v>
      </x:c>
      <x:c r="U174" s="36" t="str">
        <x:v>retrieve_and_execute</x:v>
      </x:c>
      <x:c r="V174" s="36" t="str">
        <x:v>[{"point_id":"P1","description":"主要处理方式与预期动作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x:v>
      </x:c>
      <x:c r="W174" s="36" t="str">
        <x:v>1.00</x:v>
      </x:c>
      <x:c r="X174" s="39" t="str">
        <x:v>当前表只调整 spent 的数值格式，实际数据不要改。</x:v>
      </x:c>
      <x:c r="Y174" s="39" t="str">
        <x:v>第1条记忆（中期/可复用模板）：在 Keep_Two_decimal_points.xlsx 中把 spent 列的显示格式统一设置为保留两位小数。关键约束：只格式化 spent 列；固定显示两位小数；不改变原数值。</x:v>
      </x:c>
      <x:c r="Z174" s="39" t="str">
        <x:v>不适用：当前题目不存在需要用户进一步选择的候选记忆。</x:v>
      </x:c>
      <x:c r="AA174" s="39" t="str">
        <x:v>不适用：当前题目没有指定需要排除的冲突或禁止记忆。</x:v>
      </x:c>
      <x:c r="AB174" s="39" t="str">
        <x:v>应执行以下操作：在 Keep_Two_decimal_points.xlsx 中把 spent 列的显示格式统一设置为保留两位小数。</x:v>
      </x:c>
      <x:c r="AC174" s="39" t="str">
        <x:v>第1项实际操作：在 Keep_Two_decimal_points.xlsx 中把 spent 列的显示格式统一设置为保留两位小数。执行时必须满足：只格式化 spent 列；固定显示两位小数；不改变原数值。</x:v>
      </x:c>
      <x:c r="AD174" s="39" t="str">
        <x:v>用户的完整请求是：“当前表只调整 spent 的数值格式，实际数据不要改。”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x:v>
      </x:c>
      <x:c r="AE17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174" s="50" t="str">
        <x:v>not_pass</x:v>
      </x:c>
      <x:c r="AG174" s="50" t="n">
        <x:v>0</x:v>
      </x:c>
    </x:row>
    <x:row r="175" ht="165" customHeight="1">
      <x:c r="A175" s="35" t="str">
        <x:v>6e99a1ad-07d2-4b66-a1ce-ece6d99c20a5_HQ4</x:v>
      </x:c>
      <x:c r="B175" s="36" t="str">
        <x:v>SG_TASK_6e99a1ad-07d2-4b66-a1ce-ece6d99c20a5</x:v>
      </x:c>
      <x:c r="C175" s="36" t="str">
        <x:v>6e99a1ad-07d2-4b66-a1ce-ece6d99c20a5</x:v>
      </x:c>
      <x:c r="D175" s="36" t="str">
        <x:v>Keep_Two_decimal_points.xlsx</x:v>
      </x:c>
      <x:c r="E175" s="36" t="str">
        <x:v>single_memory</x:v>
      </x:c>
      <x:c r="F175" s="36" t="str">
        <x:v>low_overlap_paraphrase</x:v>
      </x:c>
      <x:c r="G175" s="36" t="str">
        <x:v>test</x:v>
      </x:c>
      <x:c r="H175" s="36" t="str">
        <x:v>困难</x:v>
      </x:c>
      <x:c r="I175" s="36" t="str">
        <x:v>6e99a1ad-07d2-4b66-a1ce-ece6d99c20a5</x:v>
      </x:c>
      <x:c r="J175" s="36" t="str">
        <x:v>CTX_6e99a1ad-07d2-4b66-a1ce-ece6d99c20a5</x:v>
      </x:c>
      <x:c r="K175" s="36" t="str">
        <x:v>MTM_6e99a1ad-07d2-4b66-a1ce-ece6d99c20a5</x:v>
      </x:c>
      <x:c r="L175" s="36" t="str"/>
      <x:c r="M175" s="36" t="str"/>
      <x:c r="N175" s="36" t="str">
        <x:v>可复用模板</x:v>
      </x:c>
      <x:c r="O175" s="36" t="str">
        <x:v>中期</x:v>
      </x:c>
      <x:c r="P175" s="36" t="str">
        <x:v>["libreoffice_calc"]</x:v>
      </x:c>
      <x:c r="Q175" s="36" t="str">
        <x:v>[{"step_id":"S1","app":"libreoffice_calc","action_key":"format_spent_two_decimals","input_artifacts":["Keep_Two_decimal_points.xlsx"],"output_artifacts":["[\"Keep_Two_decimal_points.xlsx\",\"Keep_Two_decimal_points-Sheet1.csv\"]"],"depends_on":[]}]</x:v>
      </x:c>
      <x:c r="R175" s="36" t="str">
        <x:v>[]</x:v>
      </x:c>
      <x:c r="S175" s="36" t="str">
        <x:v>format_spent_two_decimals</x:v>
      </x:c>
      <x:c r="T175" s="36" t="str">
        <x:v>Keep_Two_decimal_points.xlsx</x:v>
      </x:c>
      <x:c r="U175" s="36" t="str">
        <x:v>retrieve_and_execute</x:v>
      </x:c>
      <x:c r="V175" s="36" t="str">
        <x:v>[{"point_id":"P1","description":"主要处理方式与预期动作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x:v>
      </x:c>
      <x:c r="W175" s="36" t="str">
        <x:v>1.00</x:v>
      </x:c>
      <x:c r="X175" s="39" t="str">
        <x:v>为了让报表金额对齐，请把支出列统一成小数点后两位。</x:v>
      </x:c>
      <x:c r="Y175" s="39" t="str">
        <x:v>第1条记忆（中期/可复用模板）：在 Keep_Two_decimal_points.xlsx 中把 spent 列的显示格式统一设置为保留两位小数。关键约束：只格式化 spent 列；固定显示两位小数；不改变原数值。</x:v>
      </x:c>
      <x:c r="Z175" s="39" t="str">
        <x:v>不适用：当前题目不存在需要用户进一步选择的候选记忆。</x:v>
      </x:c>
      <x:c r="AA175" s="39" t="str">
        <x:v>不适用：当前题目没有指定需要排除的冲突或禁止记忆。</x:v>
      </x:c>
      <x:c r="AB175" s="39" t="str">
        <x:v>应执行以下操作：在 Keep_Two_decimal_points.xlsx 中把 spent 列的显示格式统一设置为保留两位小数。</x:v>
      </x:c>
      <x:c r="AC175" s="39" t="str">
        <x:v>第1项实际操作：在 Keep_Two_decimal_points.xlsx 中把 spent 列的显示格式统一设置为保留两位小数。执行时必须满足：只格式化 spent 列；固定显示两位小数；不改变原数值。</x:v>
      </x:c>
      <x:c r="AD175" s="39" t="str">
        <x:v>用户的完整请求是：“为了让报表金额对齐，请把支出列统一成小数点后两位。”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x:v>
      </x:c>
      <x:c r="AE17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175" s="50" t="str">
        <x:v>not_pass</x:v>
      </x:c>
      <x:c r="AG175" s="50" t="n">
        <x:v>0</x:v>
      </x:c>
    </x:row>
    <x:row r="176" ht="165" customHeight="1">
      <x:c r="A176" s="35" t="str">
        <x:v>6e99a1ad-07d2-4b66-a1ce-ece6d99c20a5_HQ5</x:v>
      </x:c>
      <x:c r="B176" s="36" t="str">
        <x:v>SG_TASK_6e99a1ad-07d2-4b66-a1ce-ece6d99c20a5</x:v>
      </x:c>
      <x:c r="C176" s="36" t="str">
        <x:v>6e99a1ad-07d2-4b66-a1ce-ece6d99c20a5</x:v>
      </x:c>
      <x:c r="D176" s="36" t="str">
        <x:v>Keep_Two_decimal_points.xlsx</x:v>
      </x:c>
      <x:c r="E176" s="36" t="str">
        <x:v>single_memory</x:v>
      </x:c>
      <x:c r="F176" s="36" t="str">
        <x:v>human_constraint_emphasis</x:v>
      </x:c>
      <x:c r="G176" s="36" t="str">
        <x:v>test</x:v>
      </x:c>
      <x:c r="H176" s="36" t="str">
        <x:v>困难</x:v>
      </x:c>
      <x:c r="I176" s="36" t="str">
        <x:v>6e99a1ad-07d2-4b66-a1ce-ece6d99c20a5</x:v>
      </x:c>
      <x:c r="J176" s="36" t="str">
        <x:v>CTX_6e99a1ad-07d2-4b66-a1ce-ece6d99c20a5</x:v>
      </x:c>
      <x:c r="K176" s="36" t="str">
        <x:v>MTM_6e99a1ad-07d2-4b66-a1ce-ece6d99c20a5</x:v>
      </x:c>
      <x:c r="L176" s="36" t="str"/>
      <x:c r="M176" s="36" t="str"/>
      <x:c r="N176" s="36" t="str">
        <x:v>可复用模板</x:v>
      </x:c>
      <x:c r="O176" s="36" t="str">
        <x:v>中期</x:v>
      </x:c>
      <x:c r="P176" s="36" t="str">
        <x:v>["libreoffice_calc"]</x:v>
      </x:c>
      <x:c r="Q176" s="36" t="str">
        <x:v>[{"step_id":"S1","app":"libreoffice_calc","action_key":"format_spent_two_decimals","input_artifacts":["Keep_Two_decimal_points.xlsx"],"output_artifacts":["[\"Keep_Two_decimal_points.xlsx\",\"Keep_Two_decimal_points-Sheet1.csv\"]"],"depends_on":[]}]</x:v>
      </x:c>
      <x:c r="R176" s="36" t="str">
        <x:v>[]</x:v>
      </x:c>
      <x:c r="S176" s="36" t="str">
        <x:v>format_spent_two_decimals</x:v>
      </x:c>
      <x:c r="T176" s="36" t="str">
        <x:v>Keep_Two_decimal_points.xlsx</x:v>
      </x:c>
      <x:c r="U176" s="36" t="str">
        <x:v>retrieve_and_execute</x:v>
      </x:c>
      <x:c r="V176" s="36" t="str">
        <x:v>[{"point_id":"P1","description":"主要处理方式与预期动作 format_spent_two_decimals 语义一致","weight":0.4,"evidence_memory_ids":["MTM_6e99a1ad-07d2-4b66-a1ce-ece6d99c20a5"]},{"point_id":"P2","description":"正确定位目标对象 Keep_Two_decimal_points.xlsx","weight":0.2,"evidence_memory_ids":["MTM_6e99a1ad-07d2-4b66-a1ce-ece6d99c20a5"]},{"point_id":"P3","description":"满足关键条件：只格式化 spent 列；固定显示两位小数；不改变原数值","weight":0.3,"evidence_memory_ids":["MTM_6e99a1ad-07d2-4b66-a1ce-ece6d99c20a5"]},{"point_id":"P4","description":"不增加无记忆证据支持的操作","weight":0.1,"evidence_memory_ids":["MTM_6e99a1ad-07d2-4b66-a1ce-ece6d99c20a5"]}]</x:v>
      </x:c>
      <x:c r="W176" s="36" t="str">
        <x:v>1.00</x:v>
      </x:c>
      <x:c r="X176" s="39" t="str">
        <x:v>spent 列固定两位小数，仅改显示格式，其他列保持原样。</x:v>
      </x:c>
      <x:c r="Y176" s="39" t="str">
        <x:v>第1条记忆（中期/可复用模板）：在 Keep_Two_decimal_points.xlsx 中把 spent 列的显示格式统一设置为保留两位小数。关键约束：只格式化 spent 列；固定显示两位小数；不改变原数值。</x:v>
      </x:c>
      <x:c r="Z176" s="39" t="str">
        <x:v>不适用：当前题目不存在需要用户进一步选择的候选记忆。</x:v>
      </x:c>
      <x:c r="AA176" s="39" t="str">
        <x:v>不适用：当前题目没有指定需要排除的冲突或禁止记忆。</x:v>
      </x:c>
      <x:c r="AB176" s="39" t="str">
        <x:v>应执行以下操作：在 Keep_Two_decimal_points.xlsx 中把 spent 列的显示格式统一设置为保留两位小数。</x:v>
      </x:c>
      <x:c r="AC176" s="39" t="str">
        <x:v>第1项实际操作：在 Keep_Two_decimal_points.xlsx 中把 spent 列的显示格式统一设置为保留两位小数。执行时必须满足：只格式化 spent 列；固定显示两位小数；不改变原数值。</x:v>
      </x:c>
      <x:c r="AD176" s="39" t="str">
        <x:v>用户的完整请求是：“spent 列固定两位小数，仅改显示格式，其他列保持原样。” 第1个当前上下文：Keep_Two_decimal_points.xlsx 已在 LibreOffice Calc 中打开。 当前请求是在已有办公上下文中继续、复用或重新强调既有处理方式。与该请求唯一对应的完整必需记忆如下：
第1条记忆（中期/可复用模板）：在 Keep_Two_decimal_points.xlsx 中把 spent 列的显示格式统一设置为保留两位小数。关键约束：只格式化 spent 列；固定显示两位小数；不改变原数值。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Keep_Two_decimal_points.xlsx 中把 spent 列的显示格式统一设置为保留两位小数。”</x:v>
      </x:c>
      <x:c r="AE17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Keep_Two_decimal_points.xlsx 中把 spent 列的显示格式统一设置为保留两位小数。关键约束：只格式化 spent 列；固定显示两位小数；不改变原数值。
第2个得分点（0.20分）：正确定位目标对象 Keep_Two_decimal_points.xlsx。该得分点所依据的完整证据为：
第1条记忆（中期/可复用模板）：在 Keep_Two_decimal_points.xlsx 中把 spent 列的显示格式统一设置为保留两位小数。关键约束：只格式化 spent 列；固定显示两位小数；不改变原数值。
第3个得分点（0.30分）：满足关键条件：只格式化 spent 列；固定显示两位小数；不改变原数值。该得分点所依据的完整证据为：
第1条记忆（中期/可复用模板）：在 Keep_Two_decimal_points.xlsx 中把 spent 列的显示格式统一设置为保留两位小数。关键约束：只格式化 spent 列；固定显示两位小数；不改变原数值。
第4个得分点（0.10分）：不增加无记忆证据支持的操作。该得分点所依据的完整证据为：
第1条记忆（中期/可复用模板）：在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176" s="50" t="str">
        <x:v>not_pass</x:v>
      </x:c>
      <x:c r="AG176" s="50" t="n">
        <x:v>0</x:v>
      </x:c>
    </x:row>
    <x:row r="177" ht="175.5" customHeight="1">
      <x:c r="A177" s="35" t="str">
        <x:v>7a4e4bc8-922c-4c84-865c-25ba34136be1_HQ1</x:v>
      </x:c>
      <x:c r="B177" s="36" t="str">
        <x:v>SG_TASK_7a4e4bc8-922c-4c84-865c-25ba34136be1</x:v>
      </x:c>
      <x:c r="C177" s="36" t="str">
        <x:v>7a4e4bc8-922c-4c84-865c-25ba34136be1</x:v>
      </x:c>
      <x:c r="D177" s="36" t="str">
        <x:v>Name_Order_Id_move_column.xlsx</x:v>
      </x:c>
      <x:c r="E177" s="36" t="str">
        <x:v>single_memory</x:v>
      </x:c>
      <x:c r="F177" s="36" t="str">
        <x:v>human_context_explicit</x:v>
      </x:c>
      <x:c r="G177" s="36" t="str">
        <x:v>train</x:v>
      </x:c>
      <x:c r="H177" s="36" t="str">
        <x:v>简单</x:v>
      </x:c>
      <x:c r="I177" s="36" t="str">
        <x:v>7a4e4bc8-922c-4c84-865c-25ba34136be1</x:v>
      </x:c>
      <x:c r="J177" s="36" t="str">
        <x:v>CTX_7a4e4bc8-922c-4c84-865c-25ba34136be1</x:v>
      </x:c>
      <x:c r="K177" s="36" t="str">
        <x:v>LTM_7a4e4bc8-922c-4c84-865c-25ba34136be1</x:v>
      </x:c>
      <x:c r="L177" s="36" t="str"/>
      <x:c r="M177" s="36" t="str"/>
      <x:c r="N177" s="36" t="str">
        <x:v>工作流程</x:v>
      </x:c>
      <x:c r="O177" s="36" t="str">
        <x:v>长期</x:v>
      </x:c>
      <x:c r="P177" s="36" t="str">
        <x:v>["libreoffice_calc"]</x:v>
      </x:c>
      <x:c r="Q177" s="36" t="str">
        <x:v>[{"step_id":"S1","app":"libreoffice_calc","action_key":"reorder_order_columns","input_artifacts":["Name_Order_Id_move_column.xlsx"],"output_artifacts":["Name_Order_Id_move_column.xlsx"],"depends_on":[]}]</x:v>
      </x:c>
      <x:c r="R177" s="36" t="str">
        <x:v>[]</x:v>
      </x:c>
      <x:c r="S177" s="36" t="str">
        <x:v>reorder_order_columns</x:v>
      </x:c>
      <x:c r="T177" s="36" t="str">
        <x:v>Name_Order_Id_move_column.xlsx</x:v>
      </x:c>
      <x:c r="U177" s="36" t="str">
        <x:v>retrieve_and_execute</x:v>
      </x:c>
      <x:c r="V177" s="36" t="str">
        <x:v>[{"point_id":"P1","description":"主要处理方式与预期动作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x:v>
      </x:c>
      <x:c r="W177" s="36" t="str">
        <x:v>1.00</x:v>
      </x:c>
      <x:c r="X177" s="39" t="str">
        <x:v>Name_Order_Id_move_column.xlsx 的字段按之前约定重新排成日期、名字、姓氏、订单号、销售额。</x:v>
      </x:c>
      <x:c r="Y177" s="39" t="str">
        <x:v>第1条记忆（长期/工作流程）：在 Name_Order_Id_move_column.xlsx 中把列顺序调整为 Date、First Name、Last Name、Order ID、Sales。关键约束：五列顺序必须完全一致；整列数据随表头移动；不修改无关区域。</x:v>
      </x:c>
      <x:c r="Z177" s="39" t="str">
        <x:v>不适用：当前题目不存在需要用户进一步选择的候选记忆。</x:v>
      </x:c>
      <x:c r="AA177" s="39" t="str">
        <x:v>不适用：当前题目没有指定需要排除的冲突或禁止记忆。</x:v>
      </x:c>
      <x:c r="AB177" s="39" t="str">
        <x:v>应执行以下操作：在 Name_Order_Id_move_column.xlsx 中把列顺序调整为 Date、First Name、Last Name、Order ID、Sales。</x:v>
      </x:c>
      <x:c r="AC177" s="39" t="str">
        <x:v>第1项实际操作：在 Name_Order_Id_move_column.xlsx 中把列顺序调整为 Date、First Name、Last Name、Order ID、Sales。执行时必须满足：五列顺序必须完全一致；整列数据随表头移动；不修改无关区域。</x:v>
      </x:c>
      <x:c r="AD177" s="39" t="str">
        <x:v>用户的完整请求是：“Name_Order_Id_move_column.xlsx 的字段按之前约定重新排成日期、名字、姓氏、订单号、销售额。”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x:v>
      </x:c>
      <x:c r="AE17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177" s="50" t="str">
        <x:v>not_pass</x:v>
      </x:c>
      <x:c r="AG177" s="50" t="n">
        <x:v>0</x:v>
      </x:c>
    </x:row>
    <x:row r="178" ht="175.5" customHeight="1">
      <x:c r="A178" s="35" t="str">
        <x:v>7a4e4bc8-922c-4c84-865c-25ba34136be1_HQ2</x:v>
      </x:c>
      <x:c r="B178" s="36" t="str">
        <x:v>SG_TASK_7a4e4bc8-922c-4c84-865c-25ba34136be1</x:v>
      </x:c>
      <x:c r="C178" s="36" t="str">
        <x:v>7a4e4bc8-922c-4c84-865c-25ba34136be1</x:v>
      </x:c>
      <x:c r="D178" s="36" t="str">
        <x:v>Name_Order_Id_move_column.xlsx</x:v>
      </x:c>
      <x:c r="E178" s="36" t="str">
        <x:v>single_memory</x:v>
      </x:c>
      <x:c r="F178" s="36" t="str">
        <x:v>human_goal_oriented</x:v>
      </x:c>
      <x:c r="G178" s="36" t="str">
        <x:v>train</x:v>
      </x:c>
      <x:c r="H178" s="36" t="str">
        <x:v>中等</x:v>
      </x:c>
      <x:c r="I178" s="36" t="str">
        <x:v>7a4e4bc8-922c-4c84-865c-25ba34136be1</x:v>
      </x:c>
      <x:c r="J178" s="36" t="str">
        <x:v>CTX_7a4e4bc8-922c-4c84-865c-25ba34136be1</x:v>
      </x:c>
      <x:c r="K178" s="36" t="str">
        <x:v>LTM_7a4e4bc8-922c-4c84-865c-25ba34136be1</x:v>
      </x:c>
      <x:c r="L178" s="36" t="str"/>
      <x:c r="M178" s="36" t="str"/>
      <x:c r="N178" s="36" t="str">
        <x:v>工作流程</x:v>
      </x:c>
      <x:c r="O178" s="36" t="str">
        <x:v>长期</x:v>
      </x:c>
      <x:c r="P178" s="36" t="str">
        <x:v>["libreoffice_calc"]</x:v>
      </x:c>
      <x:c r="Q178" s="36" t="str">
        <x:v>[{"step_id":"S1","app":"libreoffice_calc","action_key":"reorder_order_columns","input_artifacts":["Name_Order_Id_move_column.xlsx"],"output_artifacts":["Name_Order_Id_move_column.xlsx"],"depends_on":[]}]</x:v>
      </x:c>
      <x:c r="R178" s="36" t="str">
        <x:v>[]</x:v>
      </x:c>
      <x:c r="S178" s="36" t="str">
        <x:v>reorder_order_columns</x:v>
      </x:c>
      <x:c r="T178" s="36" t="str">
        <x:v>Name_Order_Id_move_column.xlsx</x:v>
      </x:c>
      <x:c r="U178" s="36" t="str">
        <x:v>retrieve_and_execute</x:v>
      </x:c>
      <x:c r="V178" s="36" t="str">
        <x:v>[{"point_id":"P1","description":"主要处理方式与预期动作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x:v>
      </x:c>
      <x:c r="W178" s="36" t="str">
        <x:v>1.00</x:v>
      </x:c>
      <x:c r="X178" s="39" t="str">
        <x:v>这份订单表导入前要调一下列顺序，先 Date，再 First Name、Last Name、Order ID，最后 Sales。</x:v>
      </x:c>
      <x:c r="Y178" s="39" t="str">
        <x:v>第1条记忆（长期/工作流程）：在 Name_Order_Id_move_column.xlsx 中把列顺序调整为 Date、First Name、Last Name、Order ID、Sales。关键约束：五列顺序必须完全一致；整列数据随表头移动；不修改无关区域。</x:v>
      </x:c>
      <x:c r="Z178" s="39" t="str">
        <x:v>不适用：当前题目不存在需要用户进一步选择的候选记忆。</x:v>
      </x:c>
      <x:c r="AA178" s="39" t="str">
        <x:v>不适用：当前题目没有指定需要排除的冲突或禁止记忆。</x:v>
      </x:c>
      <x:c r="AB178" s="39" t="str">
        <x:v>应执行以下操作：在 Name_Order_Id_move_column.xlsx 中把列顺序调整为 Date、First Name、Last Name、Order ID、Sales。</x:v>
      </x:c>
      <x:c r="AC178" s="39" t="str">
        <x:v>第1项实际操作：在 Name_Order_Id_move_column.xlsx 中把列顺序调整为 Date、First Name、Last Name、Order ID、Sales。执行时必须满足：五列顺序必须完全一致；整列数据随表头移动；不修改无关区域。</x:v>
      </x:c>
      <x:c r="AD178" s="39" t="str">
        <x:v>用户的完整请求是：“这份订单表导入前要调一下列顺序，先 Date，再 First Name、Last Name、Order ID，最后 Sales。”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x:v>
      </x:c>
      <x:c r="AE17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178" s="50" t="str">
        <x:v>not_pass</x:v>
      </x:c>
      <x:c r="AG178" s="50" t="n">
        <x:v>0</x:v>
      </x:c>
    </x:row>
    <x:row r="179" ht="175.5" customHeight="1">
      <x:c r="A179" s="35" t="str">
        <x:v>7a4e4bc8-922c-4c84-865c-25ba34136be1_HQ3</x:v>
      </x:c>
      <x:c r="B179" s="36" t="str">
        <x:v>SG_TASK_7a4e4bc8-922c-4c84-865c-25ba34136be1</x:v>
      </x:c>
      <x:c r="C179" s="36" t="str">
        <x:v>7a4e4bc8-922c-4c84-865c-25ba34136be1</x:v>
      </x:c>
      <x:c r="D179" s="36" t="str">
        <x:v>Name_Order_Id_move_column.xlsx</x:v>
      </x:c>
      <x:c r="E179" s="36" t="str">
        <x:v>single_memory</x:v>
      </x:c>
      <x:c r="F179" s="36" t="str">
        <x:v>contextual_ellipsis</x:v>
      </x:c>
      <x:c r="G179" s="36" t="str">
        <x:v>train</x:v>
      </x:c>
      <x:c r="H179" s="36" t="str">
        <x:v>中等</x:v>
      </x:c>
      <x:c r="I179" s="36" t="str">
        <x:v>7a4e4bc8-922c-4c84-865c-25ba34136be1</x:v>
      </x:c>
      <x:c r="J179" s="36" t="str">
        <x:v>CTX_7a4e4bc8-922c-4c84-865c-25ba34136be1</x:v>
      </x:c>
      <x:c r="K179" s="36" t="str">
        <x:v>LTM_7a4e4bc8-922c-4c84-865c-25ba34136be1</x:v>
      </x:c>
      <x:c r="L179" s="36" t="str"/>
      <x:c r="M179" s="36" t="str"/>
      <x:c r="N179" s="36" t="str">
        <x:v>工作流程</x:v>
      </x:c>
      <x:c r="O179" s="36" t="str">
        <x:v>长期</x:v>
      </x:c>
      <x:c r="P179" s="36" t="str">
        <x:v>["libreoffice_calc"]</x:v>
      </x:c>
      <x:c r="Q179" s="36" t="str">
        <x:v>[{"step_id":"S1","app":"libreoffice_calc","action_key":"reorder_order_columns","input_artifacts":["Name_Order_Id_move_column.xlsx"],"output_artifacts":["Name_Order_Id_move_column.xlsx"],"depends_on":[]}]</x:v>
      </x:c>
      <x:c r="R179" s="36" t="str">
        <x:v>[]</x:v>
      </x:c>
      <x:c r="S179" s="36" t="str">
        <x:v>reorder_order_columns</x:v>
      </x:c>
      <x:c r="T179" s="36" t="str">
        <x:v>Name_Order_Id_move_column.xlsx</x:v>
      </x:c>
      <x:c r="U179" s="36" t="str">
        <x:v>retrieve_and_execute</x:v>
      </x:c>
      <x:c r="V179" s="36" t="str">
        <x:v>[{"point_id":"P1","description":"主要处理方式与预期动作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x:v>
      </x:c>
      <x:c r="W179" s="36" t="str">
        <x:v>1.00</x:v>
      </x:c>
      <x:c r="X179" s="39" t="str">
        <x:v>当前文件继续做字段重排，每列的数据要跟着表头一起走。</x:v>
      </x:c>
      <x:c r="Y179" s="39" t="str">
        <x:v>第1条记忆（长期/工作流程）：在 Name_Order_Id_move_column.xlsx 中把列顺序调整为 Date、First Name、Last Name、Order ID、Sales。关键约束：五列顺序必须完全一致；整列数据随表头移动；不修改无关区域。</x:v>
      </x:c>
      <x:c r="Z179" s="39" t="str">
        <x:v>不适用：当前题目不存在需要用户进一步选择的候选记忆。</x:v>
      </x:c>
      <x:c r="AA179" s="39" t="str">
        <x:v>不适用：当前题目没有指定需要排除的冲突或禁止记忆。</x:v>
      </x:c>
      <x:c r="AB179" s="39" t="str">
        <x:v>应执行以下操作：在 Name_Order_Id_move_column.xlsx 中把列顺序调整为 Date、First Name、Last Name、Order ID、Sales。</x:v>
      </x:c>
      <x:c r="AC179" s="39" t="str">
        <x:v>第1项实际操作：在 Name_Order_Id_move_column.xlsx 中把列顺序调整为 Date、First Name、Last Name、Order ID、Sales。执行时必须满足：五列顺序必须完全一致；整列数据随表头移动；不修改无关区域。</x:v>
      </x:c>
      <x:c r="AD179" s="39" t="str">
        <x:v>用户的完整请求是：“当前文件继续做字段重排，每列的数据要跟着表头一起走。”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x:v>
      </x:c>
      <x:c r="AE17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179" s="50" t="str">
        <x:v>not_pass</x:v>
      </x:c>
      <x:c r="AG179" s="50" t="n">
        <x:v>0</x:v>
      </x:c>
    </x:row>
    <x:row r="180" ht="175.5" customHeight="1">
      <x:c r="A180" s="35" t="str">
        <x:v>7a4e4bc8-922c-4c84-865c-25ba34136be1_HQ4</x:v>
      </x:c>
      <x:c r="B180" s="36" t="str">
        <x:v>SG_TASK_7a4e4bc8-922c-4c84-865c-25ba34136be1</x:v>
      </x:c>
      <x:c r="C180" s="36" t="str">
        <x:v>7a4e4bc8-922c-4c84-865c-25ba34136be1</x:v>
      </x:c>
      <x:c r="D180" s="36" t="str">
        <x:v>Name_Order_Id_move_column.xlsx</x:v>
      </x:c>
      <x:c r="E180" s="36" t="str">
        <x:v>single_memory</x:v>
      </x:c>
      <x:c r="F180" s="36" t="str">
        <x:v>low_overlap_paraphrase</x:v>
      </x:c>
      <x:c r="G180" s="36" t="str">
        <x:v>train</x:v>
      </x:c>
      <x:c r="H180" s="36" t="str">
        <x:v>困难</x:v>
      </x:c>
      <x:c r="I180" s="36" t="str">
        <x:v>7a4e4bc8-922c-4c84-865c-25ba34136be1</x:v>
      </x:c>
      <x:c r="J180" s="36" t="str">
        <x:v>CTX_7a4e4bc8-922c-4c84-865c-25ba34136be1</x:v>
      </x:c>
      <x:c r="K180" s="36" t="str">
        <x:v>LTM_7a4e4bc8-922c-4c84-865c-25ba34136be1</x:v>
      </x:c>
      <x:c r="L180" s="36" t="str"/>
      <x:c r="M180" s="36" t="str"/>
      <x:c r="N180" s="36" t="str">
        <x:v>工作流程</x:v>
      </x:c>
      <x:c r="O180" s="36" t="str">
        <x:v>长期</x:v>
      </x:c>
      <x:c r="P180" s="36" t="str">
        <x:v>["libreoffice_calc"]</x:v>
      </x:c>
      <x:c r="Q180" s="36" t="str">
        <x:v>[{"step_id":"S1","app":"libreoffice_calc","action_key":"reorder_order_columns","input_artifacts":["Name_Order_Id_move_column.xlsx"],"output_artifacts":["Name_Order_Id_move_column.xlsx"],"depends_on":[]}]</x:v>
      </x:c>
      <x:c r="R180" s="36" t="str">
        <x:v>[]</x:v>
      </x:c>
      <x:c r="S180" s="36" t="str">
        <x:v>reorder_order_columns</x:v>
      </x:c>
      <x:c r="T180" s="36" t="str">
        <x:v>Name_Order_Id_move_column.xlsx</x:v>
      </x:c>
      <x:c r="U180" s="36" t="str">
        <x:v>retrieve_and_execute</x:v>
      </x:c>
      <x:c r="V180" s="36" t="str">
        <x:v>[{"point_id":"P1","description":"主要处理方式与预期动作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x:v>
      </x:c>
      <x:c r="W180" s="36" t="str">
        <x:v>1.00</x:v>
      </x:c>
      <x:c r="X180" s="39" t="str">
        <x:v>为了匹配系统模板，请把日期放最前、销售额放最后，中间按姓名和订单号排列。</x:v>
      </x:c>
      <x:c r="Y180" s="39" t="str">
        <x:v>第1条记忆（长期/工作流程）：在 Name_Order_Id_move_column.xlsx 中把列顺序调整为 Date、First Name、Last Name、Order ID、Sales。关键约束：五列顺序必须完全一致；整列数据随表头移动；不修改无关区域。</x:v>
      </x:c>
      <x:c r="Z180" s="39" t="str">
        <x:v>不适用：当前题目不存在需要用户进一步选择的候选记忆。</x:v>
      </x:c>
      <x:c r="AA180" s="39" t="str">
        <x:v>不适用：当前题目没有指定需要排除的冲突或禁止记忆。</x:v>
      </x:c>
      <x:c r="AB180" s="39" t="str">
        <x:v>应执行以下操作：在 Name_Order_Id_move_column.xlsx 中把列顺序调整为 Date、First Name、Last Name、Order ID、Sales。</x:v>
      </x:c>
      <x:c r="AC180" s="39" t="str">
        <x:v>第1项实际操作：在 Name_Order_Id_move_column.xlsx 中把列顺序调整为 Date、First Name、Last Name、Order ID、Sales。执行时必须满足：五列顺序必须完全一致；整列数据随表头移动；不修改无关区域。</x:v>
      </x:c>
      <x:c r="AD180" s="39" t="str">
        <x:v>用户的完整请求是：“为了匹配系统模板，请把日期放最前、销售额放最后，中间按姓名和订单号排列。”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x:v>
      </x:c>
      <x:c r="AE18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180" s="50" t="str">
        <x:v>not_pass</x:v>
      </x:c>
      <x:c r="AG180" s="50" t="n">
        <x:v>0</x:v>
      </x:c>
    </x:row>
    <x:row r="181" ht="175.5" customHeight="1">
      <x:c r="A181" s="35" t="str">
        <x:v>7a4e4bc8-922c-4c84-865c-25ba34136be1_HQ5</x:v>
      </x:c>
      <x:c r="B181" s="36" t="str">
        <x:v>SG_TASK_7a4e4bc8-922c-4c84-865c-25ba34136be1</x:v>
      </x:c>
      <x:c r="C181" s="36" t="str">
        <x:v>7a4e4bc8-922c-4c84-865c-25ba34136be1</x:v>
      </x:c>
      <x:c r="D181" s="36" t="str">
        <x:v>Name_Order_Id_move_column.xlsx</x:v>
      </x:c>
      <x:c r="E181" s="36" t="str">
        <x:v>single_memory</x:v>
      </x:c>
      <x:c r="F181" s="36" t="str">
        <x:v>human_constraint_emphasis</x:v>
      </x:c>
      <x:c r="G181" s="36" t="str">
        <x:v>train</x:v>
      </x:c>
      <x:c r="H181" s="36" t="str">
        <x:v>困难</x:v>
      </x:c>
      <x:c r="I181" s="36" t="str">
        <x:v>7a4e4bc8-922c-4c84-865c-25ba34136be1</x:v>
      </x:c>
      <x:c r="J181" s="36" t="str">
        <x:v>CTX_7a4e4bc8-922c-4c84-865c-25ba34136be1</x:v>
      </x:c>
      <x:c r="K181" s="36" t="str">
        <x:v>LTM_7a4e4bc8-922c-4c84-865c-25ba34136be1</x:v>
      </x:c>
      <x:c r="L181" s="36" t="str"/>
      <x:c r="M181" s="36" t="str"/>
      <x:c r="N181" s="36" t="str">
        <x:v>工作流程</x:v>
      </x:c>
      <x:c r="O181" s="36" t="str">
        <x:v>长期</x:v>
      </x:c>
      <x:c r="P181" s="36" t="str">
        <x:v>["libreoffice_calc"]</x:v>
      </x:c>
      <x:c r="Q181" s="36" t="str">
        <x:v>[{"step_id":"S1","app":"libreoffice_calc","action_key":"reorder_order_columns","input_artifacts":["Name_Order_Id_move_column.xlsx"],"output_artifacts":["Name_Order_Id_move_column.xlsx"],"depends_on":[]}]</x:v>
      </x:c>
      <x:c r="R181" s="36" t="str">
        <x:v>[]</x:v>
      </x:c>
      <x:c r="S181" s="36" t="str">
        <x:v>reorder_order_columns</x:v>
      </x:c>
      <x:c r="T181" s="36" t="str">
        <x:v>Name_Order_Id_move_column.xlsx</x:v>
      </x:c>
      <x:c r="U181" s="36" t="str">
        <x:v>retrieve_and_execute</x:v>
      </x:c>
      <x:c r="V181" s="36" t="str">
        <x:v>[{"point_id":"P1","description":"主要处理方式与预期动作 reorder_order_columns 语义一致","weight":0.4,"evidence_memory_ids":["LTM_7a4e4bc8-922c-4c84-865c-25ba34136be1"]},{"point_id":"P2","description":"正确定位目标对象 Name_Order_Id_move_column.xlsx","weight":0.2,"evidence_memory_ids":["LTM_7a4e4bc8-922c-4c84-865c-25ba34136be1"]},{"point_id":"P3","description":"满足关键条件：五列顺序必须完全一致；整列数据随表头移动；不修改无关区域","weight":0.3,"evidence_memory_ids":["LTM_7a4e4bc8-922c-4c84-865c-25ba34136be1"]},{"point_id":"P4","description":"不增加无记忆证据支持的操作","weight":0.1,"evidence_memory_ids":["LTM_7a4e4bc8-922c-4c84-865c-25ba34136be1"]}]</x:v>
      </x:c>
      <x:c r="W181" s="36" t="str">
        <x:v>1.00</x:v>
      </x:c>
      <x:c r="X181" s="39" t="str">
        <x:v>顺序固定为 Date、First Name、Last Name、Order ID、Sales，别碰其他区域。</x:v>
      </x:c>
      <x:c r="Y181" s="39" t="str">
        <x:v>第1条记忆（长期/工作流程）：在 Name_Order_Id_move_column.xlsx 中把列顺序调整为 Date、First Name、Last Name、Order ID、Sales。关键约束：五列顺序必须完全一致；整列数据随表头移动；不修改无关区域。</x:v>
      </x:c>
      <x:c r="Z181" s="39" t="str">
        <x:v>不适用：当前题目不存在需要用户进一步选择的候选记忆。</x:v>
      </x:c>
      <x:c r="AA181" s="39" t="str">
        <x:v>不适用：当前题目没有指定需要排除的冲突或禁止记忆。</x:v>
      </x:c>
      <x:c r="AB181" s="39" t="str">
        <x:v>应执行以下操作：在 Name_Order_Id_move_column.xlsx 中把列顺序调整为 Date、First Name、Last Name、Order ID、Sales。</x:v>
      </x:c>
      <x:c r="AC181" s="39" t="str">
        <x:v>第1项实际操作：在 Name_Order_Id_move_column.xlsx 中把列顺序调整为 Date、First Name、Last Name、Order ID、Sales。执行时必须满足：五列顺序必须完全一致；整列数据随表头移动；不修改无关区域。</x:v>
      </x:c>
      <x:c r="AD181" s="39" t="str">
        <x:v>用户的完整请求是：“顺序固定为 Date、First Name、Last Name、Order ID、Sales，别碰其他区域。” 第1个当前上下文：Name_Order_Id_move_column.xlsx 已在 LibreOffice Calc 中打开。 当前请求是在已有办公上下文中继续、复用或重新强调既有处理方式。与该请求唯一对应的完整必需记忆如下：
第1条记忆（长期/工作流程）：在 Name_Order_Id_move_column.xlsx 中把列顺序调整为 Date、First Name、Last Name、Order ID、Sales。关键约束：五列顺序必须完全一致；整列数据随表头移动；不修改无关区域。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Name_Order_Id_move_column.xlsx 中把列顺序调整为 Date、First Name、Last Name、Order ID、Sales。”</x:v>
      </x:c>
      <x:c r="AE18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Name_Order_Id_move_column.xlsx 中把列顺序调整为 Date、First Name、Last Name、Order ID、Sales。关键约束：五列顺序必须完全一致；整列数据随表头移动；不修改无关区域。
第2个得分点（0.20分）：正确定位目标对象 Name_Order_Id_move_column.xlsx。该得分点所依据的完整证据为：
第1条记忆（长期/工作流程）：在 Name_Order_Id_move_column.xlsx 中把列顺序调整为 Date、First Name、Last Name、Order ID、Sales。关键约束：五列顺序必须完全一致；整列数据随表头移动；不修改无关区域。
第3个得分点（0.30分）：满足关键条件：五列顺序必须完全一致；整列数据随表头移动；不修改无关区域。该得分点所依据的完整证据为：
第1条记忆（长期/工作流程）：在 Name_Order_Id_move_column.xlsx 中把列顺序调整为 Date、First Name、Last Name、Order ID、Sales。关键约束：五列顺序必须完全一致；整列数据随表头移动；不修改无关区域。
第4个得分点（0.10分）：不增加无记忆证据支持的操作。该得分点所依据的完整证据为：
第1条记忆（长期/工作流程）：在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181" s="50" t="str">
        <x:v>not_pass</x:v>
      </x:c>
      <x:c r="AG181" s="50" t="n">
        <x:v>0</x:v>
      </x:c>
    </x:row>
    <x:row r="182" ht="189" customHeight="1">
      <x:c r="A182" s="35" t="str">
        <x:v>7e429b8d-a3f0-4ed0-9b58-08957d00b127_HQ1</x:v>
      </x:c>
      <x:c r="B182" s="36" t="str">
        <x:v>SG_TASK_7e429b8d-a3f0-4ed0-9b58-08957d00b127</x:v>
      </x:c>
      <x:c r="C182" s="36" t="str">
        <x:v>7e429b8d-a3f0-4ed0-9b58-08957d00b127</x:v>
      </x:c>
      <x:c r="D182" s="36" t="str">
        <x:v>VLOOKUP_Fill_the_form.xlsx</x:v>
      </x:c>
      <x:c r="E182" s="36" t="str">
        <x:v>single_memory</x:v>
      </x:c>
      <x:c r="F182" s="36" t="str">
        <x:v>human_context_explicit</x:v>
      </x:c>
      <x:c r="G182" s="36" t="str">
        <x:v>train</x:v>
      </x:c>
      <x:c r="H182" s="36" t="str">
        <x:v>简单</x:v>
      </x:c>
      <x:c r="I182" s="36" t="str">
        <x:v>7e429b8d-a3f0-4ed0-9b58-08957d00b127</x:v>
      </x:c>
      <x:c r="J182" s="36" t="str">
        <x:v>CTX_7e429b8d-a3f0-4ed0-9b58-08957d00b127</x:v>
      </x:c>
      <x:c r="K182" s="36" t="str">
        <x:v>STM_7e429b8d-a3f0-4ed0-9b58-08957d00b127</x:v>
      </x:c>
      <x:c r="L182" s="36" t="str"/>
      <x:c r="M182" s="36" t="str"/>
      <x:c r="N182" s="36" t="str">
        <x:v>知识</x:v>
      </x:c>
      <x:c r="O182" s="36" t="str">
        <x:v>短期</x:v>
      </x:c>
      <x:c r="P182" s="36" t="str">
        <x:v>["libreoffice_calc"]</x:v>
      </x:c>
      <x:c r="Q182" s="36" t="str">
        <x:v>[{"step_id":"S1","app":"libreoffice_calc","action_key":"fill_branch_officers_from_lookup","input_artifacts":["VLOOKUP_Fill_the_form.xlsx"],"output_artifacts":["VLOOKUP_Fill_the_form.xlsx"],"depends_on":[]}]</x:v>
      </x:c>
      <x:c r="R182" s="36" t="str">
        <x:v>[]</x:v>
      </x:c>
      <x:c r="S182" s="36" t="str">
        <x:v>fill_branch_officers_from_lookup</x:v>
      </x:c>
      <x:c r="T182" s="36" t="str">
        <x:v>VLOOKUP_Fill_the_form.xlsx</x:v>
      </x:c>
      <x:c r="U182" s="36" t="str">
        <x:v>retrieve_and_execute</x:v>
      </x:c>
      <x:c r="V182" s="36" t="str">
        <x:v>[{"point_id":"P1","description":"主要处理方式与预期动作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x:v>
      </x:c>
      <x:c r="W182" s="36" t="str">
        <x:v>1.00</x:v>
      </x:c>
      <x:c r="X182" s="39" t="str">
        <x:v>VLOOKUP_Fill_the_form.xlsx 的负责人列按之前的分支对照关系补齐。</x:v>
      </x:c>
      <x:c r="Y182"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182" s="39" t="str">
        <x:v>不适用：当前题目不存在需要用户进一步选择的候选记忆。</x:v>
      </x:c>
      <x:c r="AA182" s="39" t="str">
        <x:v>不适用：当前题目没有指定需要排除的冲突或禁止记忆。</x:v>
      </x:c>
      <x:c r="AB182" s="39" t="str">
        <x:v>应执行以下操作：在 VLOOKUP_Fill_the_form.xlsx 中根据分支机构对照表，以 headoffice/branch name 为键查找对应 officer，并填入另一张表的 officer name 字段。</x:v>
      </x:c>
      <x:c r="AC182"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182" s="39" t="str">
        <x:v>用户的完整请求是：“VLOOKUP_Fill_the_form.xlsx 的负责人列按之前的分支对照关系补齐。”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x:v>
      </x:c>
      <x:c r="AE18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182" s="50" t="str">
        <x:v>not_pass</x:v>
      </x:c>
      <x:c r="AG182" s="50" t="n">
        <x:v>0</x:v>
      </x:c>
    </x:row>
    <x:row r="183" ht="189" customHeight="1">
      <x:c r="A183" s="35" t="str">
        <x:v>7e429b8d-a3f0-4ed0-9b58-08957d00b127_HQ2</x:v>
      </x:c>
      <x:c r="B183" s="36" t="str">
        <x:v>SG_TASK_7e429b8d-a3f0-4ed0-9b58-08957d00b127</x:v>
      </x:c>
      <x:c r="C183" s="36" t="str">
        <x:v>7e429b8d-a3f0-4ed0-9b58-08957d00b127</x:v>
      </x:c>
      <x:c r="D183" s="36" t="str">
        <x:v>VLOOKUP_Fill_the_form.xlsx</x:v>
      </x:c>
      <x:c r="E183" s="36" t="str">
        <x:v>single_memory</x:v>
      </x:c>
      <x:c r="F183" s="36" t="str">
        <x:v>human_goal_oriented</x:v>
      </x:c>
      <x:c r="G183" s="36" t="str">
        <x:v>train</x:v>
      </x:c>
      <x:c r="H183" s="36" t="str">
        <x:v>中等</x:v>
      </x:c>
      <x:c r="I183" s="36" t="str">
        <x:v>7e429b8d-a3f0-4ed0-9b58-08957d00b127</x:v>
      </x:c>
      <x:c r="J183" s="36" t="str">
        <x:v>CTX_7e429b8d-a3f0-4ed0-9b58-08957d00b127</x:v>
      </x:c>
      <x:c r="K183" s="36" t="str">
        <x:v>STM_7e429b8d-a3f0-4ed0-9b58-08957d00b127</x:v>
      </x:c>
      <x:c r="L183" s="36" t="str"/>
      <x:c r="M183" s="36" t="str"/>
      <x:c r="N183" s="36" t="str">
        <x:v>知识</x:v>
      </x:c>
      <x:c r="O183" s="36" t="str">
        <x:v>短期</x:v>
      </x:c>
      <x:c r="P183" s="36" t="str">
        <x:v>["libreoffice_calc"]</x:v>
      </x:c>
      <x:c r="Q183" s="36" t="str">
        <x:v>[{"step_id":"S1","app":"libreoffice_calc","action_key":"fill_branch_officers_from_lookup","input_artifacts":["VLOOKUP_Fill_the_form.xlsx"],"output_artifacts":["VLOOKUP_Fill_the_form.xlsx"],"depends_on":[]}]</x:v>
      </x:c>
      <x:c r="R183" s="36" t="str">
        <x:v>[]</x:v>
      </x:c>
      <x:c r="S183" s="36" t="str">
        <x:v>fill_branch_officers_from_lookup</x:v>
      </x:c>
      <x:c r="T183" s="36" t="str">
        <x:v>VLOOKUP_Fill_the_form.xlsx</x:v>
      </x:c>
      <x:c r="U183" s="36" t="str">
        <x:v>retrieve_and_execute</x:v>
      </x:c>
      <x:c r="V183" s="36" t="str">
        <x:v>[{"point_id":"P1","description":"主要处理方式与预期动作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x:v>
      </x:c>
      <x:c r="W183" s="36" t="str">
        <x:v>1.00</x:v>
      </x:c>
      <x:c r="X183" s="39" t="str">
        <x:v>另一张表只有 headoffice 名称，麻烦从 officer 对照表里找到对应人再填进去。</x:v>
      </x:c>
      <x:c r="Y183"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183" s="39" t="str">
        <x:v>不适用：当前题目不存在需要用户进一步选择的候选记忆。</x:v>
      </x:c>
      <x:c r="AA183" s="39" t="str">
        <x:v>不适用：当前题目没有指定需要排除的冲突或禁止记忆。</x:v>
      </x:c>
      <x:c r="AB183" s="39" t="str">
        <x:v>应执行以下操作：在 VLOOKUP_Fill_the_form.xlsx 中根据分支机构对照表，以 headoffice/branch name 为键查找对应 officer，并填入另一张表的 officer name 字段。</x:v>
      </x:c>
      <x:c r="AC183"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183" s="39" t="str">
        <x:v>用户的完整请求是：“另一张表只有 headoffice 名称，麻烦从 officer 对照表里找到对应人再填进去。”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x:v>
      </x:c>
      <x:c r="AE18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183" s="50" t="str">
        <x:v>not_pass</x:v>
      </x:c>
      <x:c r="AG183" s="50" t="n">
        <x:v>0</x:v>
      </x:c>
    </x:row>
    <x:row r="184" ht="189" customHeight="1">
      <x:c r="A184" s="35" t="str">
        <x:v>7e429b8d-a3f0-4ed0-9b58-08957d00b127_HQ3</x:v>
      </x:c>
      <x:c r="B184" s="36" t="str">
        <x:v>SG_TASK_7e429b8d-a3f0-4ed0-9b58-08957d00b127</x:v>
      </x:c>
      <x:c r="C184" s="36" t="str">
        <x:v>7e429b8d-a3f0-4ed0-9b58-08957d00b127</x:v>
      </x:c>
      <x:c r="D184" s="36" t="str">
        <x:v>VLOOKUP_Fill_the_form.xlsx</x:v>
      </x:c>
      <x:c r="E184" s="36" t="str">
        <x:v>single_memory</x:v>
      </x:c>
      <x:c r="F184" s="36" t="str">
        <x:v>contextual_ellipsis</x:v>
      </x:c>
      <x:c r="G184" s="36" t="str">
        <x:v>train</x:v>
      </x:c>
      <x:c r="H184" s="36" t="str">
        <x:v>中等</x:v>
      </x:c>
      <x:c r="I184" s="36" t="str">
        <x:v>7e429b8d-a3f0-4ed0-9b58-08957d00b127</x:v>
      </x:c>
      <x:c r="J184" s="36" t="str">
        <x:v>CTX_7e429b8d-a3f0-4ed0-9b58-08957d00b127</x:v>
      </x:c>
      <x:c r="K184" s="36" t="str">
        <x:v>STM_7e429b8d-a3f0-4ed0-9b58-08957d00b127</x:v>
      </x:c>
      <x:c r="L184" s="36" t="str"/>
      <x:c r="M184" s="36" t="str"/>
      <x:c r="N184" s="36" t="str">
        <x:v>知识</x:v>
      </x:c>
      <x:c r="O184" s="36" t="str">
        <x:v>短期</x:v>
      </x:c>
      <x:c r="P184" s="36" t="str">
        <x:v>["libreoffice_calc"]</x:v>
      </x:c>
      <x:c r="Q184" s="36" t="str">
        <x:v>[{"step_id":"S1","app":"libreoffice_calc","action_key":"fill_branch_officers_from_lookup","input_artifacts":["VLOOKUP_Fill_the_form.xlsx"],"output_artifacts":["VLOOKUP_Fill_the_form.xlsx"],"depends_on":[]}]</x:v>
      </x:c>
      <x:c r="R184" s="36" t="str">
        <x:v>[]</x:v>
      </x:c>
      <x:c r="S184" s="36" t="str">
        <x:v>fill_branch_officers_from_lookup</x:v>
      </x:c>
      <x:c r="T184" s="36" t="str">
        <x:v>VLOOKUP_Fill_the_form.xlsx</x:v>
      </x:c>
      <x:c r="U184" s="36" t="str">
        <x:v>retrieve_and_execute</x:v>
      </x:c>
      <x:c r="V184" s="36" t="str">
        <x:v>[{"point_id":"P1","description":"主要处理方式与预期动作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x:v>
      </x:c>
      <x:c r="W184" s="36" t="str">
        <x:v>1.00</x:v>
      </x:c>
      <x:c r="X184" s="39" t="str">
        <x:v>当前文件继续按 branch name 查 officer，所有分支都检查一遍。</x:v>
      </x:c>
      <x:c r="Y184"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184" s="39" t="str">
        <x:v>不适用：当前题目不存在需要用户进一步选择的候选记忆。</x:v>
      </x:c>
      <x:c r="AA184" s="39" t="str">
        <x:v>不适用：当前题目没有指定需要排除的冲突或禁止记忆。</x:v>
      </x:c>
      <x:c r="AB184" s="39" t="str">
        <x:v>应执行以下操作：在 VLOOKUP_Fill_the_form.xlsx 中根据分支机构对照表，以 headoffice/branch name 为键查找对应 officer，并填入另一张表的 officer name 字段。</x:v>
      </x:c>
      <x:c r="AC184"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184" s="39" t="str">
        <x:v>用户的完整请求是：“当前文件继续按 branch name 查 officer，所有分支都检查一遍。”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x:v>
      </x:c>
      <x:c r="AE18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184" s="50" t="str">
        <x:v>not_pass</x:v>
      </x:c>
      <x:c r="AG184" s="50" t="n">
        <x:v>0</x:v>
      </x:c>
    </x:row>
    <x:row r="185" ht="189" customHeight="1">
      <x:c r="A185" s="35" t="str">
        <x:v>7e429b8d-a3f0-4ed0-9b58-08957d00b127_HQ4</x:v>
      </x:c>
      <x:c r="B185" s="36" t="str">
        <x:v>SG_TASK_7e429b8d-a3f0-4ed0-9b58-08957d00b127</x:v>
      </x:c>
      <x:c r="C185" s="36" t="str">
        <x:v>7e429b8d-a3f0-4ed0-9b58-08957d00b127</x:v>
      </x:c>
      <x:c r="D185" s="36" t="str">
        <x:v>VLOOKUP_Fill_the_form.xlsx</x:v>
      </x:c>
      <x:c r="E185" s="36" t="str">
        <x:v>single_memory</x:v>
      </x:c>
      <x:c r="F185" s="36" t="str">
        <x:v>low_overlap_paraphrase</x:v>
      </x:c>
      <x:c r="G185" s="36" t="str">
        <x:v>train</x:v>
      </x:c>
      <x:c r="H185" s="36" t="str">
        <x:v>困难</x:v>
      </x:c>
      <x:c r="I185" s="36" t="str">
        <x:v>7e429b8d-a3f0-4ed0-9b58-08957d00b127</x:v>
      </x:c>
      <x:c r="J185" s="36" t="str">
        <x:v>CTX_7e429b8d-a3f0-4ed0-9b58-08957d00b127</x:v>
      </x:c>
      <x:c r="K185" s="36" t="str">
        <x:v>STM_7e429b8d-a3f0-4ed0-9b58-08957d00b127</x:v>
      </x:c>
      <x:c r="L185" s="36" t="str"/>
      <x:c r="M185" s="36" t="str"/>
      <x:c r="N185" s="36" t="str">
        <x:v>知识</x:v>
      </x:c>
      <x:c r="O185" s="36" t="str">
        <x:v>短期</x:v>
      </x:c>
      <x:c r="P185" s="36" t="str">
        <x:v>["libreoffice_calc"]</x:v>
      </x:c>
      <x:c r="Q185" s="36" t="str">
        <x:v>[{"step_id":"S1","app":"libreoffice_calc","action_key":"fill_branch_officers_from_lookup","input_artifacts":["VLOOKUP_Fill_the_form.xlsx"],"output_artifacts":["VLOOKUP_Fill_the_form.xlsx"],"depends_on":[]}]</x:v>
      </x:c>
      <x:c r="R185" s="36" t="str">
        <x:v>[]</x:v>
      </x:c>
      <x:c r="S185" s="36" t="str">
        <x:v>fill_branch_officers_from_lookup</x:v>
      </x:c>
      <x:c r="T185" s="36" t="str">
        <x:v>VLOOKUP_Fill_the_form.xlsx</x:v>
      </x:c>
      <x:c r="U185" s="36" t="str">
        <x:v>retrieve_and_execute</x:v>
      </x:c>
      <x:c r="V185" s="36" t="str">
        <x:v>[{"point_id":"P1","description":"主要处理方式与预期动作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x:v>
      </x:c>
      <x:c r="W185" s="36" t="str">
        <x:v>1.00</x:v>
      </x:c>
      <x:c r="X185" s="39" t="str">
        <x:v>我不想手工逐条找负责人，请用现有映射把各机构对应的人名带过来。</x:v>
      </x:c>
      <x:c r="Y185"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185" s="39" t="str">
        <x:v>不适用：当前题目不存在需要用户进一步选择的候选记忆。</x:v>
      </x:c>
      <x:c r="AA185" s="39" t="str">
        <x:v>不适用：当前题目没有指定需要排除的冲突或禁止记忆。</x:v>
      </x:c>
      <x:c r="AB185" s="39" t="str">
        <x:v>应执行以下操作：在 VLOOKUP_Fill_the_form.xlsx 中根据分支机构对照表，以 headoffice/branch name 为键查找对应 officer，并填入另一张表的 officer name 字段。</x:v>
      </x:c>
      <x:c r="AC185"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185" s="39" t="str">
        <x:v>用户的完整请求是：“我不想手工逐条找负责人，请用现有映射把各机构对应的人名带过来。”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x:v>
      </x:c>
      <x:c r="AE18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185" s="50" t="str">
        <x:v>not_pass</x:v>
      </x:c>
      <x:c r="AG185" s="50" t="n">
        <x:v>0</x:v>
      </x:c>
    </x:row>
    <x:row r="186" ht="189" customHeight="1">
      <x:c r="A186" s="35" t="str">
        <x:v>7e429b8d-a3f0-4ed0-9b58-08957d00b127_HQ5</x:v>
      </x:c>
      <x:c r="B186" s="36" t="str">
        <x:v>SG_TASK_7e429b8d-a3f0-4ed0-9b58-08957d00b127</x:v>
      </x:c>
      <x:c r="C186" s="36" t="str">
        <x:v>7e429b8d-a3f0-4ed0-9b58-08957d00b127</x:v>
      </x:c>
      <x:c r="D186" s="36" t="str">
        <x:v>VLOOKUP_Fill_the_form.xlsx</x:v>
      </x:c>
      <x:c r="E186" s="36" t="str">
        <x:v>single_memory</x:v>
      </x:c>
      <x:c r="F186" s="36" t="str">
        <x:v>human_constraint_emphasis</x:v>
      </x:c>
      <x:c r="G186" s="36" t="str">
        <x:v>train</x:v>
      </x:c>
      <x:c r="H186" s="36" t="str">
        <x:v>困难</x:v>
      </x:c>
      <x:c r="I186" s="36" t="str">
        <x:v>7e429b8d-a3f0-4ed0-9b58-08957d00b127</x:v>
      </x:c>
      <x:c r="J186" s="36" t="str">
        <x:v>CTX_7e429b8d-a3f0-4ed0-9b58-08957d00b127</x:v>
      </x:c>
      <x:c r="K186" s="36" t="str">
        <x:v>STM_7e429b8d-a3f0-4ed0-9b58-08957d00b127</x:v>
      </x:c>
      <x:c r="L186" s="36" t="str"/>
      <x:c r="M186" s="36" t="str"/>
      <x:c r="N186" s="36" t="str">
        <x:v>知识</x:v>
      </x:c>
      <x:c r="O186" s="36" t="str">
        <x:v>短期</x:v>
      </x:c>
      <x:c r="P186" s="36" t="str">
        <x:v>["libreoffice_calc"]</x:v>
      </x:c>
      <x:c r="Q186" s="36" t="str">
        <x:v>[{"step_id":"S1","app":"libreoffice_calc","action_key":"fill_branch_officers_from_lookup","input_artifacts":["VLOOKUP_Fill_the_form.xlsx"],"output_artifacts":["VLOOKUP_Fill_the_form.xlsx"],"depends_on":[]}]</x:v>
      </x:c>
      <x:c r="R186" s="36" t="str">
        <x:v>[]</x:v>
      </x:c>
      <x:c r="S186" s="36" t="str">
        <x:v>fill_branch_officers_from_lookup</x:v>
      </x:c>
      <x:c r="T186" s="36" t="str">
        <x:v>VLOOKUP_Fill_the_form.xlsx</x:v>
      </x:c>
      <x:c r="U186" s="36" t="str">
        <x:v>retrieve_and_execute</x:v>
      </x:c>
      <x:c r="V186" s="36" t="str">
        <x:v>[{"point_id":"P1","description":"主要处理方式与预期动作 fill_branch_officers_from_lookup 语义一致","weight":0.4,"evidence_memory_ids":["STM_7e429b8d-a3f0-4ed0-9b58-08957d00b127"]},{"point_id":"P2","description":"正确定位目标对象 VLOOKUP_Fill_the_form.xlsx","weight":0.2,"evidence_memory_ids":["STM_7e429b8d-a3f0-4ed0-9b58-08957d00b127"]},{"point_id":"P3","description":"满足关键条件：以分支机构名称匹配；使用已有对照表；不得凭空生成 officer 名称","weight":0.3,"evidence_memory_ids":["STM_7e429b8d-a3f0-4ed0-9b58-08957d00b127"]},{"point_id":"P4","description":"不增加无记忆证据支持的操作","weight":0.1,"evidence_memory_ids":["STM_7e429b8d-a3f0-4ed0-9b58-08957d00b127"]}]</x:v>
      </x:c>
      <x:c r="W186" s="36" t="str">
        <x:v>1.00</x:v>
      </x:c>
      <x:c r="X186" s="39" t="str">
        <x:v>以 headoffice 为查找键填 officer name，找不到时不要自己编名字。</x:v>
      </x:c>
      <x:c r="Y186"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186" s="39" t="str">
        <x:v>不适用：当前题目不存在需要用户进一步选择的候选记忆。</x:v>
      </x:c>
      <x:c r="AA186" s="39" t="str">
        <x:v>不适用：当前题目没有指定需要排除的冲突或禁止记忆。</x:v>
      </x:c>
      <x:c r="AB186" s="39" t="str">
        <x:v>应执行以下操作：在 VLOOKUP_Fill_the_form.xlsx 中根据分支机构对照表，以 headoffice/branch name 为键查找对应 officer，并填入另一张表的 officer name 字段。</x:v>
      </x:c>
      <x:c r="AC186"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186" s="39" t="str">
        <x:v>用户的完整请求是：“以 headoffice 为查找键填 officer name，找不到时不要自己编名字。” 第1个当前上下文：VLOOKUP_Fill_the_form.xlsx 已在 LibreOffice Calc 中打开。 当前请求是在已有办公上下文中继续、复用或重新强调既有处理方式。与该请求唯一对应的完整必需记忆如下：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VLOOKUP_Fill_the_form.xlsx 中根据分支机构对照表，以 headoffice/branch name 为键查找对应 officer，并填入另一张表的 officer name 字段。”</x:v>
      </x:c>
      <x:c r="AE18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第2个得分点（0.20分）：正确定位目标对象 VLOOKUP_Fill_the_form.xlsx。该得分点所依据的完整证据为：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第3个得分点（0.30分）：满足关键条件：以分支机构名称匹配；使用已有对照表；不得凭空生成 officer 名称。该得分点所依据的完整证据为：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第4个得分点（0.10分）：不增加无记忆证据支持的操作。该得分点所依据的完整证据为：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186" s="50" t="str">
        <x:v>not_pass</x:v>
      </x:c>
      <x:c r="AG186" s="50" t="n">
        <x:v>0</x:v>
      </x:c>
    </x:row>
    <x:row r="187" ht="175.5" customHeight="1">
      <x:c r="A187" s="35" t="str">
        <x:v>7efeb4b1-3d19-4762-b163-63328d66303b_HQ1</x:v>
      </x:c>
      <x:c r="B187" s="36" t="str">
        <x:v>SG_TASK_7efeb4b1-3d19-4762-b163-63328d66303b</x:v>
      </x:c>
      <x:c r="C187" s="36" t="str">
        <x:v>7efeb4b1-3d19-4762-b163-63328d66303b</x:v>
      </x:c>
      <x:c r="D187" s="36" t="str">
        <x:v>Order_Sales_Serial#.xlsx</x:v>
      </x:c>
      <x:c r="E187" s="36" t="str">
        <x:v>single_memory</x:v>
      </x:c>
      <x:c r="F187" s="36" t="str">
        <x:v>human_context_explicit</x:v>
      </x:c>
      <x:c r="G187" s="36" t="str">
        <x:v>train</x:v>
      </x:c>
      <x:c r="H187" s="36" t="str">
        <x:v>简单</x:v>
      </x:c>
      <x:c r="I187" s="36" t="str">
        <x:v>7efeb4b1-3d19-4762-b163-63328d66303b</x:v>
      </x:c>
      <x:c r="J187" s="36" t="str">
        <x:v>CTX_7efeb4b1-3d19-4762-b163-63328d66303b</x:v>
      </x:c>
      <x:c r="K187" s="36" t="str">
        <x:v>MTM_7efeb4b1-3d19-4762-b163-63328d66303b</x:v>
      </x:c>
      <x:c r="L187" s="36" t="str"/>
      <x:c r="M187" s="36" t="str"/>
      <x:c r="N187" s="36" t="str">
        <x:v>可复用模板</x:v>
      </x:c>
      <x:c r="O187" s="36" t="str">
        <x:v>中期</x:v>
      </x:c>
      <x:c r="P187" s="36" t="str">
        <x:v>["libreoffice_calc"]</x:v>
      </x:c>
      <x:c r="Q187" s="36" t="str">
        <x:v>[{"step_id":"S1","app":"libreoffice_calc","action_key":"fill_order_sequence_labels","input_artifacts":["Order_Sales_Serial#.xlsx"],"output_artifacts":["Order_Sales_Serial#.xlsx"],"depends_on":[]}]</x:v>
      </x:c>
      <x:c r="R187" s="36" t="str">
        <x:v>[]</x:v>
      </x:c>
      <x:c r="S187" s="36" t="str">
        <x:v>fill_order_sequence_labels</x:v>
      </x:c>
      <x:c r="T187" s="36" t="str">
        <x:v>Order_Sales_Serial#.xlsx</x:v>
      </x:c>
      <x:c r="U187" s="36" t="str">
        <x:v>retrieve_and_execute</x:v>
      </x:c>
      <x:c r="V187" s="36" t="str">
        <x:v>[{"point_id":"P1","description":"主要处理方式与预期动作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x:v>
      </x:c>
      <x:c r="W187" s="36" t="str">
        <x:v>1.00</x:v>
      </x:c>
      <x:c r="X187" s="39" t="str">
        <x:v>Order_Sales_Serial#.xlsx 的 Seq No. 按上次的 No. 编号格式顺着填下去。</x:v>
      </x:c>
      <x:c r="Y187" s="39" t="str">
        <x:v>第1条记忆（中期/可复用模板）：在 Order_Sales_Serial#.xlsx 的 Seq No. 列中按顺序填入 No. # 格式的序号。关键约束：序号位于 Seq No. 列；格式为 No. 后接顺序编号；不修改无关区域。</x:v>
      </x:c>
      <x:c r="Z187" s="39" t="str">
        <x:v>不适用：当前题目不存在需要用户进一步选择的候选记忆。</x:v>
      </x:c>
      <x:c r="AA187" s="39" t="str">
        <x:v>不适用：当前题目没有指定需要排除的冲突或禁止记忆。</x:v>
      </x:c>
      <x:c r="AB187" s="39" t="str">
        <x:v>应执行以下操作：在 Order_Sales_Serial#.xlsx 的 Seq No. 列中按顺序填入 No. # 格式的序号。</x:v>
      </x:c>
      <x:c r="AC187" s="39" t="str">
        <x:v>第1项实际操作：在 Order_Sales_Serial#.xlsx 的 Seq No. 列中按顺序填入 No. # 格式的序号。执行时必须满足：序号位于 Seq No. 列；格式为 No. 后接顺序编号；不修改无关区域。</x:v>
      </x:c>
      <x:c r="AD187" s="39" t="str">
        <x:v>用户的完整请求是：“Order_Sales_Serial#.xlsx 的 Seq No. 按上次的 No. 编号格式顺着填下去。”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x:v>
      </x:c>
      <x:c r="AE18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187" s="50" t="str">
        <x:v>not_pass</x:v>
      </x:c>
      <x:c r="AG187" s="50" t="n">
        <x:v>0</x:v>
      </x:c>
    </x:row>
    <x:row r="188" ht="175.5" customHeight="1">
      <x:c r="A188" s="35" t="str">
        <x:v>7efeb4b1-3d19-4762-b163-63328d66303b_HQ2</x:v>
      </x:c>
      <x:c r="B188" s="36" t="str">
        <x:v>SG_TASK_7efeb4b1-3d19-4762-b163-63328d66303b</x:v>
      </x:c>
      <x:c r="C188" s="36" t="str">
        <x:v>7efeb4b1-3d19-4762-b163-63328d66303b</x:v>
      </x:c>
      <x:c r="D188" s="36" t="str">
        <x:v>Order_Sales_Serial#.xlsx</x:v>
      </x:c>
      <x:c r="E188" s="36" t="str">
        <x:v>single_memory</x:v>
      </x:c>
      <x:c r="F188" s="36" t="str">
        <x:v>human_goal_oriented</x:v>
      </x:c>
      <x:c r="G188" s="36" t="str">
        <x:v>train</x:v>
      </x:c>
      <x:c r="H188" s="36" t="str">
        <x:v>中等</x:v>
      </x:c>
      <x:c r="I188" s="36" t="str">
        <x:v>7efeb4b1-3d19-4762-b163-63328d66303b</x:v>
      </x:c>
      <x:c r="J188" s="36" t="str">
        <x:v>CTX_7efeb4b1-3d19-4762-b163-63328d66303b</x:v>
      </x:c>
      <x:c r="K188" s="36" t="str">
        <x:v>MTM_7efeb4b1-3d19-4762-b163-63328d66303b</x:v>
      </x:c>
      <x:c r="L188" s="36" t="str"/>
      <x:c r="M188" s="36" t="str"/>
      <x:c r="N188" s="36" t="str">
        <x:v>可复用模板</x:v>
      </x:c>
      <x:c r="O188" s="36" t="str">
        <x:v>中期</x:v>
      </x:c>
      <x:c r="P188" s="36" t="str">
        <x:v>["libreoffice_calc"]</x:v>
      </x:c>
      <x:c r="Q188" s="36" t="str">
        <x:v>[{"step_id":"S1","app":"libreoffice_calc","action_key":"fill_order_sequence_labels","input_artifacts":["Order_Sales_Serial#.xlsx"],"output_artifacts":["Order_Sales_Serial#.xlsx"],"depends_on":[]}]</x:v>
      </x:c>
      <x:c r="R188" s="36" t="str">
        <x:v>[]</x:v>
      </x:c>
      <x:c r="S188" s="36" t="str">
        <x:v>fill_order_sequence_labels</x:v>
      </x:c>
      <x:c r="T188" s="36" t="str">
        <x:v>Order_Sales_Serial#.xlsx</x:v>
      </x:c>
      <x:c r="U188" s="36" t="str">
        <x:v>retrieve_and_execute</x:v>
      </x:c>
      <x:c r="V188" s="36" t="str">
        <x:v>[{"point_id":"P1","description":"主要处理方式与预期动作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x:v>
      </x:c>
      <x:c r="W188" s="36" t="str">
        <x:v>1.00</x:v>
      </x:c>
      <x:c r="X188" s="39" t="str">
        <x:v>这份订单表缺少可读序号，帮我在对应列生成 No. 1、No. 2 这种标签。</x:v>
      </x:c>
      <x:c r="Y188" s="39" t="str">
        <x:v>第1条记忆（中期/可复用模板）：在 Order_Sales_Serial#.xlsx 的 Seq No. 列中按顺序填入 No. # 格式的序号。关键约束：序号位于 Seq No. 列；格式为 No. 后接顺序编号；不修改无关区域。</x:v>
      </x:c>
      <x:c r="Z188" s="39" t="str">
        <x:v>不适用：当前题目不存在需要用户进一步选择的候选记忆。</x:v>
      </x:c>
      <x:c r="AA188" s="39" t="str">
        <x:v>不适用：当前题目没有指定需要排除的冲突或禁止记忆。</x:v>
      </x:c>
      <x:c r="AB188" s="39" t="str">
        <x:v>应执行以下操作：在 Order_Sales_Serial#.xlsx 的 Seq No. 列中按顺序填入 No. # 格式的序号。</x:v>
      </x:c>
      <x:c r="AC188" s="39" t="str">
        <x:v>第1项实际操作：在 Order_Sales_Serial#.xlsx 的 Seq No. 列中按顺序填入 No. # 格式的序号。执行时必须满足：序号位于 Seq No. 列；格式为 No. 后接顺序编号；不修改无关区域。</x:v>
      </x:c>
      <x:c r="AD188" s="39" t="str">
        <x:v>用户的完整请求是：“这份订单表缺少可读序号，帮我在对应列生成 No. 1、No. 2 这种标签。”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x:v>
      </x:c>
      <x:c r="AE18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188" s="50" t="str">
        <x:v>not_pass</x:v>
      </x:c>
      <x:c r="AG188" s="50" t="n">
        <x:v>0</x:v>
      </x:c>
    </x:row>
    <x:row r="189" ht="175.5" customHeight="1">
      <x:c r="A189" s="35" t="str">
        <x:v>7efeb4b1-3d19-4762-b163-63328d66303b_HQ3</x:v>
      </x:c>
      <x:c r="B189" s="36" t="str">
        <x:v>SG_TASK_7efeb4b1-3d19-4762-b163-63328d66303b</x:v>
      </x:c>
      <x:c r="C189" s="36" t="str">
        <x:v>7efeb4b1-3d19-4762-b163-63328d66303b</x:v>
      </x:c>
      <x:c r="D189" s="36" t="str">
        <x:v>Order_Sales_Serial#.xlsx</x:v>
      </x:c>
      <x:c r="E189" s="36" t="str">
        <x:v>single_memory</x:v>
      </x:c>
      <x:c r="F189" s="36" t="str">
        <x:v>contextual_ellipsis</x:v>
      </x:c>
      <x:c r="G189" s="36" t="str">
        <x:v>train</x:v>
      </x:c>
      <x:c r="H189" s="36" t="str">
        <x:v>中等</x:v>
      </x:c>
      <x:c r="I189" s="36" t="str">
        <x:v>7efeb4b1-3d19-4762-b163-63328d66303b</x:v>
      </x:c>
      <x:c r="J189" s="36" t="str">
        <x:v>CTX_7efeb4b1-3d19-4762-b163-63328d66303b</x:v>
      </x:c>
      <x:c r="K189" s="36" t="str">
        <x:v>MTM_7efeb4b1-3d19-4762-b163-63328d66303b</x:v>
      </x:c>
      <x:c r="L189" s="36" t="str"/>
      <x:c r="M189" s="36" t="str"/>
      <x:c r="N189" s="36" t="str">
        <x:v>可复用模板</x:v>
      </x:c>
      <x:c r="O189" s="36" t="str">
        <x:v>中期</x:v>
      </x:c>
      <x:c r="P189" s="36" t="str">
        <x:v>["libreoffice_calc"]</x:v>
      </x:c>
      <x:c r="Q189" s="36" t="str">
        <x:v>[{"step_id":"S1","app":"libreoffice_calc","action_key":"fill_order_sequence_labels","input_artifacts":["Order_Sales_Serial#.xlsx"],"output_artifacts":["Order_Sales_Serial#.xlsx"],"depends_on":[]}]</x:v>
      </x:c>
      <x:c r="R189" s="36" t="str">
        <x:v>[]</x:v>
      </x:c>
      <x:c r="S189" s="36" t="str">
        <x:v>fill_order_sequence_labels</x:v>
      </x:c>
      <x:c r="T189" s="36" t="str">
        <x:v>Order_Sales_Serial#.xlsx</x:v>
      </x:c>
      <x:c r="U189" s="36" t="str">
        <x:v>retrieve_and_execute</x:v>
      </x:c>
      <x:c r="V189" s="36" t="str">
        <x:v>[{"point_id":"P1","description":"主要处理方式与预期动作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x:v>
      </x:c>
      <x:c r="W189" s="36" t="str">
        <x:v>1.00</x:v>
      </x:c>
      <x:c r="X189" s="39" t="str">
        <x:v>当前文件继续补顺序号，行次保持一致。</x:v>
      </x:c>
      <x:c r="Y189" s="39" t="str">
        <x:v>第1条记忆（中期/可复用模板）：在 Order_Sales_Serial#.xlsx 的 Seq No. 列中按顺序填入 No. # 格式的序号。关键约束：序号位于 Seq No. 列；格式为 No. 后接顺序编号；不修改无关区域。</x:v>
      </x:c>
      <x:c r="Z189" s="39" t="str">
        <x:v>不适用：当前题目不存在需要用户进一步选择的候选记忆。</x:v>
      </x:c>
      <x:c r="AA189" s="39" t="str">
        <x:v>不适用：当前题目没有指定需要排除的冲突或禁止记忆。</x:v>
      </x:c>
      <x:c r="AB189" s="39" t="str">
        <x:v>应执行以下操作：在 Order_Sales_Serial#.xlsx 的 Seq No. 列中按顺序填入 No. # 格式的序号。</x:v>
      </x:c>
      <x:c r="AC189" s="39" t="str">
        <x:v>第1项实际操作：在 Order_Sales_Serial#.xlsx 的 Seq No. 列中按顺序填入 No. # 格式的序号。执行时必须满足：序号位于 Seq No. 列；格式为 No. 后接顺序编号；不修改无关区域。</x:v>
      </x:c>
      <x:c r="AD189" s="39" t="str">
        <x:v>用户的完整请求是：“当前文件继续补顺序号，行次保持一致。”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x:v>
      </x:c>
      <x:c r="AE18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189" s="50" t="str">
        <x:v>not_pass</x:v>
      </x:c>
      <x:c r="AG189" s="50" t="n">
        <x:v>0</x:v>
      </x:c>
    </x:row>
    <x:row r="190" ht="175.5" customHeight="1">
      <x:c r="A190" s="35" t="str">
        <x:v>7efeb4b1-3d19-4762-b163-63328d66303b_HQ4</x:v>
      </x:c>
      <x:c r="B190" s="36" t="str">
        <x:v>SG_TASK_7efeb4b1-3d19-4762-b163-63328d66303b</x:v>
      </x:c>
      <x:c r="C190" s="36" t="str">
        <x:v>7efeb4b1-3d19-4762-b163-63328d66303b</x:v>
      </x:c>
      <x:c r="D190" s="36" t="str">
        <x:v>Order_Sales_Serial#.xlsx</x:v>
      </x:c>
      <x:c r="E190" s="36" t="str">
        <x:v>single_memory</x:v>
      </x:c>
      <x:c r="F190" s="36" t="str">
        <x:v>low_overlap_paraphrase</x:v>
      </x:c>
      <x:c r="G190" s="36" t="str">
        <x:v>train</x:v>
      </x:c>
      <x:c r="H190" s="36" t="str">
        <x:v>困难</x:v>
      </x:c>
      <x:c r="I190" s="36" t="str">
        <x:v>7efeb4b1-3d19-4762-b163-63328d66303b</x:v>
      </x:c>
      <x:c r="J190" s="36" t="str">
        <x:v>CTX_7efeb4b1-3d19-4762-b163-63328d66303b</x:v>
      </x:c>
      <x:c r="K190" s="36" t="str">
        <x:v>MTM_7efeb4b1-3d19-4762-b163-63328d66303b</x:v>
      </x:c>
      <x:c r="L190" s="36" t="str"/>
      <x:c r="M190" s="36" t="str"/>
      <x:c r="N190" s="36" t="str">
        <x:v>可复用模板</x:v>
      </x:c>
      <x:c r="O190" s="36" t="str">
        <x:v>中期</x:v>
      </x:c>
      <x:c r="P190" s="36" t="str">
        <x:v>["libreoffice_calc"]</x:v>
      </x:c>
      <x:c r="Q190" s="36" t="str">
        <x:v>[{"step_id":"S1","app":"libreoffice_calc","action_key":"fill_order_sequence_labels","input_artifacts":["Order_Sales_Serial#.xlsx"],"output_artifacts":["Order_Sales_Serial#.xlsx"],"depends_on":[]}]</x:v>
      </x:c>
      <x:c r="R190" s="36" t="str">
        <x:v>[]</x:v>
      </x:c>
      <x:c r="S190" s="36" t="str">
        <x:v>fill_order_sequence_labels</x:v>
      </x:c>
      <x:c r="T190" s="36" t="str">
        <x:v>Order_Sales_Serial#.xlsx</x:v>
      </x:c>
      <x:c r="U190" s="36" t="str">
        <x:v>retrieve_and_execute</x:v>
      </x:c>
      <x:c r="V190" s="36" t="str">
        <x:v>[{"point_id":"P1","description":"主要处理方式与预期动作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x:v>
      </x:c>
      <x:c r="W190" s="36" t="str">
        <x:v>1.00</x:v>
      </x:c>
      <x:c r="X190" s="39" t="str">
        <x:v>为了打印时方便核对，请给每条销售记录加一个带 No. 前缀的连续编号。</x:v>
      </x:c>
      <x:c r="Y190" s="39" t="str">
        <x:v>第1条记忆（中期/可复用模板）：在 Order_Sales_Serial#.xlsx 的 Seq No. 列中按顺序填入 No. # 格式的序号。关键约束：序号位于 Seq No. 列；格式为 No. 后接顺序编号；不修改无关区域。</x:v>
      </x:c>
      <x:c r="Z190" s="39" t="str">
        <x:v>不适用：当前题目不存在需要用户进一步选择的候选记忆。</x:v>
      </x:c>
      <x:c r="AA190" s="39" t="str">
        <x:v>不适用：当前题目没有指定需要排除的冲突或禁止记忆。</x:v>
      </x:c>
      <x:c r="AB190" s="39" t="str">
        <x:v>应执行以下操作：在 Order_Sales_Serial#.xlsx 的 Seq No. 列中按顺序填入 No. # 格式的序号。</x:v>
      </x:c>
      <x:c r="AC190" s="39" t="str">
        <x:v>第1项实际操作：在 Order_Sales_Serial#.xlsx 的 Seq No. 列中按顺序填入 No. # 格式的序号。执行时必须满足：序号位于 Seq No. 列；格式为 No. 后接顺序编号；不修改无关区域。</x:v>
      </x:c>
      <x:c r="AD190" s="39" t="str">
        <x:v>用户的完整请求是：“为了打印时方便核对，请给每条销售记录加一个带 No. 前缀的连续编号。”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x:v>
      </x:c>
      <x:c r="AE19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190" s="50" t="str">
        <x:v>not_pass</x:v>
      </x:c>
      <x:c r="AG190" s="50" t="n">
        <x:v>0</x:v>
      </x:c>
    </x:row>
    <x:row r="191" ht="175.5" customHeight="1">
      <x:c r="A191" s="35" t="str">
        <x:v>7efeb4b1-3d19-4762-b163-63328d66303b_HQ5</x:v>
      </x:c>
      <x:c r="B191" s="36" t="str">
        <x:v>SG_TASK_7efeb4b1-3d19-4762-b163-63328d66303b</x:v>
      </x:c>
      <x:c r="C191" s="36" t="str">
        <x:v>7efeb4b1-3d19-4762-b163-63328d66303b</x:v>
      </x:c>
      <x:c r="D191" s="36" t="str">
        <x:v>Order_Sales_Serial#.xlsx</x:v>
      </x:c>
      <x:c r="E191" s="36" t="str">
        <x:v>single_memory</x:v>
      </x:c>
      <x:c r="F191" s="36" t="str">
        <x:v>human_constraint_emphasis</x:v>
      </x:c>
      <x:c r="G191" s="36" t="str">
        <x:v>train</x:v>
      </x:c>
      <x:c r="H191" s="36" t="str">
        <x:v>困难</x:v>
      </x:c>
      <x:c r="I191" s="36" t="str">
        <x:v>7efeb4b1-3d19-4762-b163-63328d66303b</x:v>
      </x:c>
      <x:c r="J191" s="36" t="str">
        <x:v>CTX_7efeb4b1-3d19-4762-b163-63328d66303b</x:v>
      </x:c>
      <x:c r="K191" s="36" t="str">
        <x:v>MTM_7efeb4b1-3d19-4762-b163-63328d66303b</x:v>
      </x:c>
      <x:c r="L191" s="36" t="str"/>
      <x:c r="M191" s="36" t="str"/>
      <x:c r="N191" s="36" t="str">
        <x:v>可复用模板</x:v>
      </x:c>
      <x:c r="O191" s="36" t="str">
        <x:v>中期</x:v>
      </x:c>
      <x:c r="P191" s="36" t="str">
        <x:v>["libreoffice_calc"]</x:v>
      </x:c>
      <x:c r="Q191" s="36" t="str">
        <x:v>[{"step_id":"S1","app":"libreoffice_calc","action_key":"fill_order_sequence_labels","input_artifacts":["Order_Sales_Serial#.xlsx"],"output_artifacts":["Order_Sales_Serial#.xlsx"],"depends_on":[]}]</x:v>
      </x:c>
      <x:c r="R191" s="36" t="str">
        <x:v>[]</x:v>
      </x:c>
      <x:c r="S191" s="36" t="str">
        <x:v>fill_order_sequence_labels</x:v>
      </x:c>
      <x:c r="T191" s="36" t="str">
        <x:v>Order_Sales_Serial#.xlsx</x:v>
      </x:c>
      <x:c r="U191" s="36" t="str">
        <x:v>retrieve_and_execute</x:v>
      </x:c>
      <x:c r="V191" s="36" t="str">
        <x:v>[{"point_id":"P1","description":"主要处理方式与预期动作 fill_order_sequence_labels 语义一致","weight":0.4,"evidence_memory_ids":["MTM_7efeb4b1-3d19-4762-b163-63328d66303b"]},{"point_id":"P2","description":"正确定位目标对象 Order_Sales_Serial#.xlsx","weight":0.2,"evidence_memory_ids":["MTM_7efeb4b1-3d19-4762-b163-63328d66303b"]},{"point_id":"P3","description":"满足关键条件：序号位于 Seq No. 列；格式为 No. 后接顺序编号；不修改无关区域","weight":0.3,"evidence_memory_ids":["MTM_7efeb4b1-3d19-4762-b163-63328d66303b"]},{"point_id":"P4","description":"不增加无记忆证据支持的操作","weight":0.1,"evidence_memory_ids":["MTM_7efeb4b1-3d19-4762-b163-63328d66303b"]}]</x:v>
      </x:c>
      <x:c r="W191" s="36" t="str">
        <x:v>1.00</x:v>
      </x:c>
      <x:c r="X191" s="39" t="str">
        <x:v>只填 Seq No. 列，按 No. # 的形式连续编号，其他地方别动。</x:v>
      </x:c>
      <x:c r="Y191" s="39" t="str">
        <x:v>第1条记忆（中期/可复用模板）：在 Order_Sales_Serial#.xlsx 的 Seq No. 列中按顺序填入 No. # 格式的序号。关键约束：序号位于 Seq No. 列；格式为 No. 后接顺序编号；不修改无关区域。</x:v>
      </x:c>
      <x:c r="Z191" s="39" t="str">
        <x:v>不适用：当前题目不存在需要用户进一步选择的候选记忆。</x:v>
      </x:c>
      <x:c r="AA191" s="39" t="str">
        <x:v>不适用：当前题目没有指定需要排除的冲突或禁止记忆。</x:v>
      </x:c>
      <x:c r="AB191" s="39" t="str">
        <x:v>应执行以下操作：在 Order_Sales_Serial#.xlsx 的 Seq No. 列中按顺序填入 No. # 格式的序号。</x:v>
      </x:c>
      <x:c r="AC191" s="39" t="str">
        <x:v>第1项实际操作：在 Order_Sales_Serial#.xlsx 的 Seq No. 列中按顺序填入 No. # 格式的序号。执行时必须满足：序号位于 Seq No. 列；格式为 No. 后接顺序编号；不修改无关区域。</x:v>
      </x:c>
      <x:c r="AD191" s="39" t="str">
        <x:v>用户的完整请求是：“只填 Seq No. 列，按 No. # 的形式连续编号，其他地方别动。” 第1个当前上下文：Order_Sales_Serial#.xlsx 已在 LibreOffice Calc 中打开。 当前请求是在已有办公上下文中继续、复用或重新强调既有处理方式。与该请求唯一对应的完整必需记忆如下：
第1条记忆（中期/可复用模板）：在 Order_Sales_Serial#.xlsx 的 Seq No. 列中按顺序填入 No. # 格式的序号。关键约束：序号位于 Seq No. 列；格式为 No. 后接顺序编号；不修改无关区域。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Order_Sales_Serial#.xlsx 的 Seq No. 列中按顺序填入 No. # 格式的序号。”</x:v>
      </x:c>
      <x:c r="AE19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第1条记忆（中期/可复用模板）：在 Order_Sales_Serial#.xlsx 的 Seq No. 列中按顺序填入 No. # 格式的序号。关键约束：序号位于 Seq No. 列；格式为 No. 后接顺序编号；不修改无关区域。
第2个得分点（0.20分）：正确定位目标对象 Order_Sales_Serial#.xlsx。该得分点所依据的完整证据为：
第1条记忆（中期/可复用模板）：在 Order_Sales_Serial#.xlsx 的 Seq No. 列中按顺序填入 No. # 格式的序号。关键约束：序号位于 Seq No. 列；格式为 No. 后接顺序编号；不修改无关区域。
第3个得分点（0.30分）：满足关键条件：序号位于 Seq No. 列；格式为 No. 后接顺序编号；不修改无关区域。该得分点所依据的完整证据为：
第1条记忆（中期/可复用模板）：在 Order_Sales_Serial#.xlsx 的 Seq No. 列中按顺序填入 No. # 格式的序号。关键约束：序号位于 Seq No. 列；格式为 No. 后接顺序编号；不修改无关区域。
第4个得分点（0.10分）：不增加无记忆证据支持的操作。该得分点所依据的完整证据为：
第1条记忆（中期/可复用模板）：在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191" s="50" t="str">
        <x:v>not_pass</x:v>
      </x:c>
      <x:c r="AG191" s="50" t="n">
        <x:v>0</x:v>
      </x:c>
    </x:row>
    <x:row r="192" ht="175.5" customHeight="1">
      <x:c r="A192" s="35" t="str">
        <x:v>8b1ce5f2-59d2-4dcc-b0b0-666a714b9a14_HQ1</x:v>
      </x:c>
      <x:c r="B192" s="36" t="str">
        <x:v>SG_TASK_8b1ce5f2-59d2-4dcc-b0b0-666a714b9a14</x:v>
      </x:c>
      <x:c r="C192" s="36" t="str">
        <x:v>8b1ce5f2-59d2-4dcc-b0b0-666a714b9a14</x:v>
      </x:c>
      <x:c r="D192" s="36" t="str">
        <x:v>Calendar_Highlight_Weekend_Days.xlsx</x:v>
      </x:c>
      <x:c r="E192" s="36" t="str">
        <x:v>single_memory</x:v>
      </x:c>
      <x:c r="F192" s="36" t="str">
        <x:v>human_context_explicit</x:v>
      </x:c>
      <x:c r="G192" s="36" t="str">
        <x:v>test</x:v>
      </x:c>
      <x:c r="H192" s="36" t="str">
        <x:v>简单</x:v>
      </x:c>
      <x:c r="I192" s="36" t="str">
        <x:v>8b1ce5f2-59d2-4dcc-b0b0-666a714b9a14</x:v>
      </x:c>
      <x:c r="J192" s="36" t="str">
        <x:v>CTX_8b1ce5f2-59d2-4dcc-b0b0-666a714b9a14</x:v>
      </x:c>
      <x:c r="K192" s="36" t="str">
        <x:v>LTM_8b1ce5f2-59d2-4dcc-b0b0-666a714b9a14</x:v>
      </x:c>
      <x:c r="L192" s="36" t="str"/>
      <x:c r="M192" s="36" t="str"/>
      <x:c r="N192" s="36" t="str">
        <x:v>可复用模板</x:v>
      </x:c>
      <x:c r="O192" s="36" t="str">
        <x:v>长期</x:v>
      </x:c>
      <x:c r="P192" s="36" t="str">
        <x:v>["libreoffice_calc"]</x:v>
      </x:c>
      <x:c r="Q192" s="36" t="str">
        <x:v>[{"step_id":"S1","app":"libreoffice_calc","action_key":"highlight_calendar_weekends_red","input_artifacts":["Calendar_Highlight_Weekend_Days.xlsx"],"output_artifacts":["Calendar_Highlight_Weekend_Days.xlsx"],"depends_on":[]}]</x:v>
      </x:c>
      <x:c r="R192" s="36" t="str">
        <x:v>[]</x:v>
      </x:c>
      <x:c r="S192" s="36" t="str">
        <x:v>highlight_calendar_weekends_red</x:v>
      </x:c>
      <x:c r="T192" s="36" t="str">
        <x:v>Calendar_Highlight_Weekend_Days.xlsx</x:v>
      </x:c>
      <x:c r="U192" s="36" t="str">
        <x:v>retrieve_and_execute</x:v>
      </x:c>
      <x:c r="V192" s="36" t="str">
        <x:v>[{"point_id":"P1","description":"主要处理方式与预期动作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x:v>
      </x:c>
      <x:c r="W192" s="36" t="str">
        <x:v>1.00</x:v>
      </x:c>
      <x:c r="X192" s="39" t="str">
        <x:v>Calendar_Highlight_Weekend_Days.xlsx 的周末按之前的日历格式标成红底。</x:v>
      </x:c>
      <x:c r="Y192" s="39" t="str">
        <x:v>第1条记忆（长期/可复用模板）：在 Calendar_Highlight_Weekend_Days.xlsx 的不完整日历中识别所有周六和周日，并把对应单元格背景设置为红色 #ff0000。关键约束：只高亮周六和周日；背景色为 #ff0000；不修改无关区域。</x:v>
      </x:c>
      <x:c r="Z192" s="39" t="str">
        <x:v>不适用：当前题目不存在需要用户进一步选择的候选记忆。</x:v>
      </x:c>
      <x:c r="AA192" s="39" t="str">
        <x:v>不适用：当前题目没有指定需要排除的冲突或禁止记忆。</x:v>
      </x:c>
      <x:c r="AB192" s="39" t="str">
        <x:v>应执行以下操作：在 Calendar_Highlight_Weekend_Days.xlsx 的不完整日历中识别所有周六和周日，并把对应单元格背景设置为红色 #ff0000。</x:v>
      </x:c>
      <x:c r="AC192" s="39" t="str">
        <x:v>第1项实际操作：在 Calendar_Highlight_Weekend_Days.xlsx 的不完整日历中识别所有周六和周日，并把对应单元格背景设置为红色 #ff0000。执行时必须满足：只高亮周六和周日；背景色为 #ff0000；不修改无关区域。</x:v>
      </x:c>
      <x:c r="AD192" s="39" t="str">
        <x:v>用户的完整请求是：“Calendar_Highlight_Weekend_Days.xlsx 的周末按之前的日历格式标成红底。”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x:v>
      </x:c>
      <x:c r="AE19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192" s="50" t="str">
        <x:v>not_pass</x:v>
      </x:c>
      <x:c r="AG192" s="50" t="n">
        <x:v>0</x:v>
      </x:c>
    </x:row>
    <x:row r="193" ht="175.5" customHeight="1">
      <x:c r="A193" s="35" t="str">
        <x:v>8b1ce5f2-59d2-4dcc-b0b0-666a714b9a14_HQ2</x:v>
      </x:c>
      <x:c r="B193" s="36" t="str">
        <x:v>SG_TASK_8b1ce5f2-59d2-4dcc-b0b0-666a714b9a14</x:v>
      </x:c>
      <x:c r="C193" s="36" t="str">
        <x:v>8b1ce5f2-59d2-4dcc-b0b0-666a714b9a14</x:v>
      </x:c>
      <x:c r="D193" s="36" t="str">
        <x:v>Calendar_Highlight_Weekend_Days.xlsx</x:v>
      </x:c>
      <x:c r="E193" s="36" t="str">
        <x:v>single_memory</x:v>
      </x:c>
      <x:c r="F193" s="36" t="str">
        <x:v>human_goal_oriented</x:v>
      </x:c>
      <x:c r="G193" s="36" t="str">
        <x:v>test</x:v>
      </x:c>
      <x:c r="H193" s="36" t="str">
        <x:v>中等</x:v>
      </x:c>
      <x:c r="I193" s="36" t="str">
        <x:v>8b1ce5f2-59d2-4dcc-b0b0-666a714b9a14</x:v>
      </x:c>
      <x:c r="J193" s="36" t="str">
        <x:v>CTX_8b1ce5f2-59d2-4dcc-b0b0-666a714b9a14</x:v>
      </x:c>
      <x:c r="K193" s="36" t="str">
        <x:v>LTM_8b1ce5f2-59d2-4dcc-b0b0-666a714b9a14</x:v>
      </x:c>
      <x:c r="L193" s="36" t="str"/>
      <x:c r="M193" s="36" t="str"/>
      <x:c r="N193" s="36" t="str">
        <x:v>可复用模板</x:v>
      </x:c>
      <x:c r="O193" s="36" t="str">
        <x:v>长期</x:v>
      </x:c>
      <x:c r="P193" s="36" t="str">
        <x:v>["libreoffice_calc"]</x:v>
      </x:c>
      <x:c r="Q193" s="36" t="str">
        <x:v>[{"step_id":"S1","app":"libreoffice_calc","action_key":"highlight_calendar_weekends_red","input_artifacts":["Calendar_Highlight_Weekend_Days.xlsx"],"output_artifacts":["Calendar_Highlight_Weekend_Days.xlsx"],"depends_on":[]}]</x:v>
      </x:c>
      <x:c r="R193" s="36" t="str">
        <x:v>[]</x:v>
      </x:c>
      <x:c r="S193" s="36" t="str">
        <x:v>highlight_calendar_weekends_red</x:v>
      </x:c>
      <x:c r="T193" s="36" t="str">
        <x:v>Calendar_Highlight_Weekend_Days.xlsx</x:v>
      </x:c>
      <x:c r="U193" s="36" t="str">
        <x:v>retrieve_and_execute</x:v>
      </x:c>
      <x:c r="V193" s="36" t="str">
        <x:v>[{"point_id":"P1","description":"主要处理方式与预期动作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x:v>
      </x:c>
      <x:c r="W193" s="36" t="str">
        <x:v>1.00</x:v>
      </x:c>
      <x:c r="X193" s="39" t="str">
        <x:v>我想一眼看出休息日，麻烦把所有 Saturday 和 Sunday 的格子填成红色。</x:v>
      </x:c>
      <x:c r="Y193" s="39" t="str">
        <x:v>第1条记忆（长期/可复用模板）：在 Calendar_Highlight_Weekend_Days.xlsx 的不完整日历中识别所有周六和周日，并把对应单元格背景设置为红色 #ff0000。关键约束：只高亮周六和周日；背景色为 #ff0000；不修改无关区域。</x:v>
      </x:c>
      <x:c r="Z193" s="39" t="str">
        <x:v>不适用：当前题目不存在需要用户进一步选择的候选记忆。</x:v>
      </x:c>
      <x:c r="AA193" s="39" t="str">
        <x:v>不适用：当前题目没有指定需要排除的冲突或禁止记忆。</x:v>
      </x:c>
      <x:c r="AB193" s="39" t="str">
        <x:v>应执行以下操作：在 Calendar_Highlight_Weekend_Days.xlsx 的不完整日历中识别所有周六和周日，并把对应单元格背景设置为红色 #ff0000。</x:v>
      </x:c>
      <x:c r="AC193" s="39" t="str">
        <x:v>第1项实际操作：在 Calendar_Highlight_Weekend_Days.xlsx 的不完整日历中识别所有周六和周日，并把对应单元格背景设置为红色 #ff0000。执行时必须满足：只高亮周六和周日；背景色为 #ff0000；不修改无关区域。</x:v>
      </x:c>
      <x:c r="AD193" s="39" t="str">
        <x:v>用户的完整请求是：“我想一眼看出休息日，麻烦把所有 Saturday 和 Sunday 的格子填成红色。”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x:v>
      </x:c>
      <x:c r="AE19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193" s="50" t="str">
        <x:v>not_pass</x:v>
      </x:c>
      <x:c r="AG193" s="50" t="n">
        <x:v>0</x:v>
      </x:c>
    </x:row>
    <x:row r="194" ht="175.5" customHeight="1">
      <x:c r="A194" s="35" t="str">
        <x:v>8b1ce5f2-59d2-4dcc-b0b0-666a714b9a14_HQ3</x:v>
      </x:c>
      <x:c r="B194" s="36" t="str">
        <x:v>SG_TASK_8b1ce5f2-59d2-4dcc-b0b0-666a714b9a14</x:v>
      </x:c>
      <x:c r="C194" s="36" t="str">
        <x:v>8b1ce5f2-59d2-4dcc-b0b0-666a714b9a14</x:v>
      </x:c>
      <x:c r="D194" s="36" t="str">
        <x:v>Calendar_Highlight_Weekend_Days.xlsx</x:v>
      </x:c>
      <x:c r="E194" s="36" t="str">
        <x:v>single_memory</x:v>
      </x:c>
      <x:c r="F194" s="36" t="str">
        <x:v>contextual_ellipsis</x:v>
      </x:c>
      <x:c r="G194" s="36" t="str">
        <x:v>test</x:v>
      </x:c>
      <x:c r="H194" s="36" t="str">
        <x:v>中等</x:v>
      </x:c>
      <x:c r="I194" s="36" t="str">
        <x:v>8b1ce5f2-59d2-4dcc-b0b0-666a714b9a14</x:v>
      </x:c>
      <x:c r="J194" s="36" t="str">
        <x:v>CTX_8b1ce5f2-59d2-4dcc-b0b0-666a714b9a14</x:v>
      </x:c>
      <x:c r="K194" s="36" t="str">
        <x:v>LTM_8b1ce5f2-59d2-4dcc-b0b0-666a714b9a14</x:v>
      </x:c>
      <x:c r="L194" s="36" t="str"/>
      <x:c r="M194" s="36" t="str"/>
      <x:c r="N194" s="36" t="str">
        <x:v>可复用模板</x:v>
      </x:c>
      <x:c r="O194" s="36" t="str">
        <x:v>长期</x:v>
      </x:c>
      <x:c r="P194" s="36" t="str">
        <x:v>["libreoffice_calc"]</x:v>
      </x:c>
      <x:c r="Q194" s="36" t="str">
        <x:v>[{"step_id":"S1","app":"libreoffice_calc","action_key":"highlight_calendar_weekends_red","input_artifacts":["Calendar_Highlight_Weekend_Days.xlsx"],"output_artifacts":["Calendar_Highlight_Weekend_Days.xlsx"],"depends_on":[]}]</x:v>
      </x:c>
      <x:c r="R194" s="36" t="str">
        <x:v>[]</x:v>
      </x:c>
      <x:c r="S194" s="36" t="str">
        <x:v>highlight_calendar_weekends_red</x:v>
      </x:c>
      <x:c r="T194" s="36" t="str">
        <x:v>Calendar_Highlight_Weekend_Days.xlsx</x:v>
      </x:c>
      <x:c r="U194" s="36" t="str">
        <x:v>retrieve_and_execute</x:v>
      </x:c>
      <x:c r="V194" s="36" t="str">
        <x:v>[{"point_id":"P1","description":"主要处理方式与预期动作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x:v>
      </x:c>
      <x:c r="W194" s="36" t="str">
        <x:v>1.00</x:v>
      </x:c>
      <x:c r="X194" s="39" t="str">
        <x:v>当前日历继续补周末高亮，缺少部分日期也按现有内容判断。</x:v>
      </x:c>
      <x:c r="Y194" s="39" t="str">
        <x:v>第1条记忆（长期/可复用模板）：在 Calendar_Highlight_Weekend_Days.xlsx 的不完整日历中识别所有周六和周日，并把对应单元格背景设置为红色 #ff0000。关键约束：只高亮周六和周日；背景色为 #ff0000；不修改无关区域。</x:v>
      </x:c>
      <x:c r="Z194" s="39" t="str">
        <x:v>不适用：当前题目不存在需要用户进一步选择的候选记忆。</x:v>
      </x:c>
      <x:c r="AA194" s="39" t="str">
        <x:v>不适用：当前题目没有指定需要排除的冲突或禁止记忆。</x:v>
      </x:c>
      <x:c r="AB194" s="39" t="str">
        <x:v>应执行以下操作：在 Calendar_Highlight_Weekend_Days.xlsx 的不完整日历中识别所有周六和周日，并把对应单元格背景设置为红色 #ff0000。</x:v>
      </x:c>
      <x:c r="AC194" s="39" t="str">
        <x:v>第1项实际操作：在 Calendar_Highlight_Weekend_Days.xlsx 的不完整日历中识别所有周六和周日，并把对应单元格背景设置为红色 #ff0000。执行时必须满足：只高亮周六和周日；背景色为 #ff0000；不修改无关区域。</x:v>
      </x:c>
      <x:c r="AD194" s="39" t="str">
        <x:v>用户的完整请求是：“当前日历继续补周末高亮，缺少部分日期也按现有内容判断。”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x:v>
      </x:c>
      <x:c r="AE19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194" s="50" t="str">
        <x:v>not_pass</x:v>
      </x:c>
      <x:c r="AG194" s="50" t="n">
        <x:v>0</x:v>
      </x:c>
    </x:row>
    <x:row r="195" ht="175.5" customHeight="1">
      <x:c r="A195" s="35" t="str">
        <x:v>8b1ce5f2-59d2-4dcc-b0b0-666a714b9a14_HQ4</x:v>
      </x:c>
      <x:c r="B195" s="36" t="str">
        <x:v>SG_TASK_8b1ce5f2-59d2-4dcc-b0b0-666a714b9a14</x:v>
      </x:c>
      <x:c r="C195" s="36" t="str">
        <x:v>8b1ce5f2-59d2-4dcc-b0b0-666a714b9a14</x:v>
      </x:c>
      <x:c r="D195" s="36" t="str">
        <x:v>Calendar_Highlight_Weekend_Days.xlsx</x:v>
      </x:c>
      <x:c r="E195" s="36" t="str">
        <x:v>single_memory</x:v>
      </x:c>
      <x:c r="F195" s="36" t="str">
        <x:v>low_overlap_paraphrase</x:v>
      </x:c>
      <x:c r="G195" s="36" t="str">
        <x:v>test</x:v>
      </x:c>
      <x:c r="H195" s="36" t="str">
        <x:v>困难</x:v>
      </x:c>
      <x:c r="I195" s="36" t="str">
        <x:v>8b1ce5f2-59d2-4dcc-b0b0-666a714b9a14</x:v>
      </x:c>
      <x:c r="J195" s="36" t="str">
        <x:v>CTX_8b1ce5f2-59d2-4dcc-b0b0-666a714b9a14</x:v>
      </x:c>
      <x:c r="K195" s="36" t="str">
        <x:v>LTM_8b1ce5f2-59d2-4dcc-b0b0-666a714b9a14</x:v>
      </x:c>
      <x:c r="L195" s="36" t="str"/>
      <x:c r="M195" s="36" t="str"/>
      <x:c r="N195" s="36" t="str">
        <x:v>可复用模板</x:v>
      </x:c>
      <x:c r="O195" s="36" t="str">
        <x:v>长期</x:v>
      </x:c>
      <x:c r="P195" s="36" t="str">
        <x:v>["libreoffice_calc"]</x:v>
      </x:c>
      <x:c r="Q195" s="36" t="str">
        <x:v>[{"step_id":"S1","app":"libreoffice_calc","action_key":"highlight_calendar_weekends_red","input_artifacts":["Calendar_Highlight_Weekend_Days.xlsx"],"output_artifacts":["Calendar_Highlight_Weekend_Days.xlsx"],"depends_on":[]}]</x:v>
      </x:c>
      <x:c r="R195" s="36" t="str">
        <x:v>[]</x:v>
      </x:c>
      <x:c r="S195" s="36" t="str">
        <x:v>highlight_calendar_weekends_red</x:v>
      </x:c>
      <x:c r="T195" s="36" t="str">
        <x:v>Calendar_Highlight_Weekend_Days.xlsx</x:v>
      </x:c>
      <x:c r="U195" s="36" t="str">
        <x:v>retrieve_and_execute</x:v>
      </x:c>
      <x:c r="V195" s="36" t="str">
        <x:v>[{"point_id":"P1","description":"主要处理方式与预期动作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x:v>
      </x:c>
      <x:c r="W195" s="36" t="str">
        <x:v>1.00</x:v>
      </x:c>
      <x:c r="X195" s="39" t="str">
        <x:v>这张排期表只需要突出每周两天休息日，工作日保持原样。</x:v>
      </x:c>
      <x:c r="Y195" s="39" t="str">
        <x:v>第1条记忆（长期/可复用模板）：在 Calendar_Highlight_Weekend_Days.xlsx 的不完整日历中识别所有周六和周日，并把对应单元格背景设置为红色 #ff0000。关键约束：只高亮周六和周日；背景色为 #ff0000；不修改无关区域。</x:v>
      </x:c>
      <x:c r="Z195" s="39" t="str">
        <x:v>不适用：当前题目不存在需要用户进一步选择的候选记忆。</x:v>
      </x:c>
      <x:c r="AA195" s="39" t="str">
        <x:v>不适用：当前题目没有指定需要排除的冲突或禁止记忆。</x:v>
      </x:c>
      <x:c r="AB195" s="39" t="str">
        <x:v>应执行以下操作：在 Calendar_Highlight_Weekend_Days.xlsx 的不完整日历中识别所有周六和周日，并把对应单元格背景设置为红色 #ff0000。</x:v>
      </x:c>
      <x:c r="AC195" s="39" t="str">
        <x:v>第1项实际操作：在 Calendar_Highlight_Weekend_Days.xlsx 的不完整日历中识别所有周六和周日，并把对应单元格背景设置为红色 #ff0000。执行时必须满足：只高亮周六和周日；背景色为 #ff0000；不修改无关区域。</x:v>
      </x:c>
      <x:c r="AD195" s="39" t="str">
        <x:v>用户的完整请求是：“这张排期表只需要突出每周两天休息日，工作日保持原样。”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x:v>
      </x:c>
      <x:c r="AE19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195" s="50" t="str">
        <x:v>not_pass</x:v>
      </x:c>
      <x:c r="AG195" s="50" t="n">
        <x:v>0</x:v>
      </x:c>
    </x:row>
    <x:row r="196" ht="175.5" customHeight="1">
      <x:c r="A196" s="35" t="str">
        <x:v>8b1ce5f2-59d2-4dcc-b0b0-666a714b9a14_HQ5</x:v>
      </x:c>
      <x:c r="B196" s="36" t="str">
        <x:v>SG_TASK_8b1ce5f2-59d2-4dcc-b0b0-666a714b9a14</x:v>
      </x:c>
      <x:c r="C196" s="36" t="str">
        <x:v>8b1ce5f2-59d2-4dcc-b0b0-666a714b9a14</x:v>
      </x:c>
      <x:c r="D196" s="36" t="str">
        <x:v>Calendar_Highlight_Weekend_Days.xlsx</x:v>
      </x:c>
      <x:c r="E196" s="36" t="str">
        <x:v>single_memory</x:v>
      </x:c>
      <x:c r="F196" s="36" t="str">
        <x:v>human_constraint_emphasis</x:v>
      </x:c>
      <x:c r="G196" s="36" t="str">
        <x:v>test</x:v>
      </x:c>
      <x:c r="H196" s="36" t="str">
        <x:v>困难</x:v>
      </x:c>
      <x:c r="I196" s="36" t="str">
        <x:v>8b1ce5f2-59d2-4dcc-b0b0-666a714b9a14</x:v>
      </x:c>
      <x:c r="J196" s="36" t="str">
        <x:v>CTX_8b1ce5f2-59d2-4dcc-b0b0-666a714b9a14</x:v>
      </x:c>
      <x:c r="K196" s="36" t="str">
        <x:v>LTM_8b1ce5f2-59d2-4dcc-b0b0-666a714b9a14</x:v>
      </x:c>
      <x:c r="L196" s="36" t="str"/>
      <x:c r="M196" s="36" t="str"/>
      <x:c r="N196" s="36" t="str">
        <x:v>可复用模板</x:v>
      </x:c>
      <x:c r="O196" s="36" t="str">
        <x:v>长期</x:v>
      </x:c>
      <x:c r="P196" s="36" t="str">
        <x:v>["libreoffice_calc"]</x:v>
      </x:c>
      <x:c r="Q196" s="36" t="str">
        <x:v>[{"step_id":"S1","app":"libreoffice_calc","action_key":"highlight_calendar_weekends_red","input_artifacts":["Calendar_Highlight_Weekend_Days.xlsx"],"output_artifacts":["Calendar_Highlight_Weekend_Days.xlsx"],"depends_on":[]}]</x:v>
      </x:c>
      <x:c r="R196" s="36" t="str">
        <x:v>[]</x:v>
      </x:c>
      <x:c r="S196" s="36" t="str">
        <x:v>highlight_calendar_weekends_red</x:v>
      </x:c>
      <x:c r="T196" s="36" t="str">
        <x:v>Calendar_Highlight_Weekend_Days.xlsx</x:v>
      </x:c>
      <x:c r="U196" s="36" t="str">
        <x:v>retrieve_and_execute</x:v>
      </x:c>
      <x:c r="V196" s="36" t="str">
        <x:v>[{"point_id":"P1","description":"主要处理方式与预期动作 highlight_calendar_weekends_red 语义一致","weight":0.4,"evidence_memory_ids":["LTM_8b1ce5f2-59d2-4dcc-b0b0-666a714b9a14"]},{"point_id":"P2","description":"正确定位目标对象 Calendar_Highlight_Weekend_Days.xlsx","weight":0.2,"evidence_memory_ids":["LTM_8b1ce5f2-59d2-4dcc-b0b0-666a714b9a14"]},{"point_id":"P3","description":"满足关键条件：只高亮周六和周日；背景色为 #ff0000；不修改无关区域","weight":0.3,"evidence_memory_ids":["LTM_8b1ce5f2-59d2-4dcc-b0b0-666a714b9a14"]},{"point_id":"P4","description":"不增加无记忆证据支持的操作","weight":0.1,"evidence_memory_ids":["LTM_8b1ce5f2-59d2-4dcc-b0b0-666a714b9a14"]}]</x:v>
      </x:c>
      <x:c r="W196" s="36" t="str">
        <x:v>1.00</x:v>
      </x:c>
      <x:c r="X196" s="39" t="str">
        <x:v>周六周日背景用 #ff0000，其他单元格和空白区域不要动。</x:v>
      </x:c>
      <x:c r="Y196" s="39" t="str">
        <x:v>第1条记忆（长期/可复用模板）：在 Calendar_Highlight_Weekend_Days.xlsx 的不完整日历中识别所有周六和周日，并把对应单元格背景设置为红色 #ff0000。关键约束：只高亮周六和周日；背景色为 #ff0000；不修改无关区域。</x:v>
      </x:c>
      <x:c r="Z196" s="39" t="str">
        <x:v>不适用：当前题目不存在需要用户进一步选择的候选记忆。</x:v>
      </x:c>
      <x:c r="AA196" s="39" t="str">
        <x:v>不适用：当前题目没有指定需要排除的冲突或禁止记忆。</x:v>
      </x:c>
      <x:c r="AB196" s="39" t="str">
        <x:v>应执行以下操作：在 Calendar_Highlight_Weekend_Days.xlsx 的不完整日历中识别所有周六和周日，并把对应单元格背景设置为红色 #ff0000。</x:v>
      </x:c>
      <x:c r="AC196" s="39" t="str">
        <x:v>第1项实际操作：在 Calendar_Highlight_Weekend_Days.xlsx 的不完整日历中识别所有周六和周日，并把对应单元格背景设置为红色 #ff0000。执行时必须满足：只高亮周六和周日；背景色为 #ff0000；不修改无关区域。</x:v>
      </x:c>
      <x:c r="AD196" s="39" t="str">
        <x:v>用户的完整请求是：“周六周日背景用 #ff0000，其他单元格和空白区域不要动。” 第1个当前上下文：Calendar_Highlight_Weekend_Days.xlsx 已在 LibreOffice Calc 中打开。 当前请求是在已有办公上下文中继续、复用或重新强调既有处理方式。与该请求唯一对应的完整必需记忆如下：
第1条记忆（长期/可复用模板）：在 Calendar_Highlight_Weekend_Days.xlsx 的不完整日历中识别所有周六和周日，并把对应单元格背景设置为红色 #ff0000。关键约束：只高亮周六和周日；背景色为 #ff0000；不修改无关区域。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Calendar_Highlight_Weekend_Days.xlsx 的不完整日历中识别所有周六和周日，并把对应单元格背景设置为红色 #ff0000。”</x:v>
      </x:c>
      <x:c r="AE19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第2个得分点（0.20分）：正确定位目标对象 Calendar_Highlight_Weekend_Days.xlsx。该得分点所依据的完整证据为：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第3个得分点（0.30分）：满足关键条件：只高亮周六和周日；背景色为 #ff0000；不修改无关区域。该得分点所依据的完整证据为：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第4个得分点（0.10分）：不增加无记忆证据支持的操作。该得分点所依据的完整证据为：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196" s="50" t="str">
        <x:v>not_pass</x:v>
      </x:c>
      <x:c r="AG196" s="50" t="n">
        <x:v>0</x:v>
      </x:c>
    </x:row>
    <x:row r="197" ht="175.5" customHeight="1">
      <x:c r="A197" s="35" t="str">
        <x:v>a01fbce3-2793-461f-ab86-43680ccbae25_HQ1</x:v>
      </x:c>
      <x:c r="B197" s="36" t="str">
        <x:v>SG_TASK_a01fbce3-2793-461f-ab86-43680ccbae25</x:v>
      </x:c>
      <x:c r="C197" s="36" t="str">
        <x:v>a01fbce3-2793-461f-ab86-43680ccbae25</x:v>
      </x:c>
      <x:c r="D197" s="36" t="str">
        <x:v>Set_Decimal_Separator_Dot.xlsx</x:v>
      </x:c>
      <x:c r="E197" s="36" t="str">
        <x:v>single_memory</x:v>
      </x:c>
      <x:c r="F197" s="36" t="str">
        <x:v>human_context_explicit</x:v>
      </x:c>
      <x:c r="G197" s="36" t="str">
        <x:v>train</x:v>
      </x:c>
      <x:c r="H197" s="36" t="str">
        <x:v>简单</x:v>
      </x:c>
      <x:c r="I197" s="36" t="str">
        <x:v>a01fbce3-2793-461f-ab86-43680ccbae25</x:v>
      </x:c>
      <x:c r="J197" s="36" t="str">
        <x:v>CTX_a01fbce3-2793-461f-ab86-43680ccbae25</x:v>
      </x:c>
      <x:c r="K197" s="36" t="str">
        <x:v>STM_a01fbce3-2793-461f-ab86-43680ccbae25</x:v>
      </x:c>
      <x:c r="L197" s="36" t="str"/>
      <x:c r="M197" s="36" t="str"/>
      <x:c r="N197" s="36" t="str">
        <x:v>工作流程</x:v>
      </x:c>
      <x:c r="O197" s="36" t="str">
        <x:v>短期</x:v>
      </x:c>
      <x:c r="P197" s="36" t="str">
        <x:v>["libreoffice_calc"]</x:v>
      </x:c>
      <x:c r="Q197" s="36" t="str">
        <x:v>[{"step_id":"S1","app":"libreoffice_calc","action_key":"set_decimal_separator_comma","input_artifacts":["Set_Decimal_Separator_Dot.xlsx"],"output_artifacts":["[\"Set_Decimal_Separator_Dot.xlsx\",\"Set_Decimal_Separator_Dot-Sheet1.csv\"]"],"depends_on":[]}]</x:v>
      </x:c>
      <x:c r="R197" s="36" t="str">
        <x:v>[]</x:v>
      </x:c>
      <x:c r="S197" s="36" t="str">
        <x:v>set_decimal_separator_comma</x:v>
      </x:c>
      <x:c r="T197" s="36" t="str">
        <x:v>Set_Decimal_Separator_Dot.xlsx</x:v>
      </x:c>
      <x:c r="U197" s="36" t="str">
        <x:v>retrieve_and_execute</x:v>
      </x:c>
      <x:c r="V197" s="36" t="str">
        <x:v>[{"point_id":"P1","description":"主要处理方式与预期动作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x:v>
      </x:c>
      <x:c r="W197" s="36" t="str">
        <x:v>1.00</x:v>
      </x:c>
      <x:c r="X197" s="39" t="str">
        <x:v>Set_Decimal_Separator_Dot.xlsx 按之前的本地化格式把小数点显示成逗号，数值别变。</x:v>
      </x:c>
      <x:c r="Y197"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197" s="39" t="str">
        <x:v>不适用：当前题目不存在需要用户进一步选择的候选记忆。</x:v>
      </x:c>
      <x:c r="AA197" s="39" t="str">
        <x:v>不适用：当前题目没有指定需要排除的冲突或禁止记忆。</x:v>
      </x:c>
      <x:c r="AB197" s="39" t="str">
        <x:v>应执行以下操作：在 Set_Decimal_Separator_Dot.xlsx 中把整张表数值的小数分隔符显示为逗号，同时保持各个小数的实际数值和精度不变。</x:v>
      </x:c>
      <x:c r="AC197" s="39" t="str">
        <x:v>第1项实际操作：在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197" s="39" t="str">
        <x:v>用户的完整请求是：“Set_Decimal_Separator_Dot.xlsx 按之前的本地化格式把小数点显示成逗号，数值别变。”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x:v>
      </x:c>
      <x:c r="AE19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197" s="50" t="str">
        <x:v>not_pass</x:v>
      </x:c>
      <x:c r="AG197" s="50" t="n">
        <x:v>0</x:v>
      </x:c>
    </x:row>
    <x:row r="198" ht="175.5" customHeight="1">
      <x:c r="A198" s="35" t="str">
        <x:v>a01fbce3-2793-461f-ab86-43680ccbae25_HQ2</x:v>
      </x:c>
      <x:c r="B198" s="36" t="str">
        <x:v>SG_TASK_a01fbce3-2793-461f-ab86-43680ccbae25</x:v>
      </x:c>
      <x:c r="C198" s="36" t="str">
        <x:v>a01fbce3-2793-461f-ab86-43680ccbae25</x:v>
      </x:c>
      <x:c r="D198" s="36" t="str">
        <x:v>Set_Decimal_Separator_Dot.xlsx</x:v>
      </x:c>
      <x:c r="E198" s="36" t="str">
        <x:v>single_memory</x:v>
      </x:c>
      <x:c r="F198" s="36" t="str">
        <x:v>human_goal_oriented</x:v>
      </x:c>
      <x:c r="G198" s="36" t="str">
        <x:v>train</x:v>
      </x:c>
      <x:c r="H198" s="36" t="str">
        <x:v>中等</x:v>
      </x:c>
      <x:c r="I198" s="36" t="str">
        <x:v>a01fbce3-2793-461f-ab86-43680ccbae25</x:v>
      </x:c>
      <x:c r="J198" s="36" t="str">
        <x:v>CTX_a01fbce3-2793-461f-ab86-43680ccbae25</x:v>
      </x:c>
      <x:c r="K198" s="36" t="str">
        <x:v>STM_a01fbce3-2793-461f-ab86-43680ccbae25</x:v>
      </x:c>
      <x:c r="L198" s="36" t="str"/>
      <x:c r="M198" s="36" t="str"/>
      <x:c r="N198" s="36" t="str">
        <x:v>工作流程</x:v>
      </x:c>
      <x:c r="O198" s="36" t="str">
        <x:v>短期</x:v>
      </x:c>
      <x:c r="P198" s="36" t="str">
        <x:v>["libreoffice_calc"]</x:v>
      </x:c>
      <x:c r="Q198" s="36" t="str">
        <x:v>[{"step_id":"S1","app":"libreoffice_calc","action_key":"set_decimal_separator_comma","input_artifacts":["Set_Decimal_Separator_Dot.xlsx"],"output_artifacts":["[\"Set_Decimal_Separator_Dot.xlsx\",\"Set_Decimal_Separator_Dot-Sheet1.csv\"]"],"depends_on":[]}]</x:v>
      </x:c>
      <x:c r="R198" s="36" t="str">
        <x:v>[]</x:v>
      </x:c>
      <x:c r="S198" s="36" t="str">
        <x:v>set_decimal_separator_comma</x:v>
      </x:c>
      <x:c r="T198" s="36" t="str">
        <x:v>Set_Decimal_Separator_Dot.xlsx</x:v>
      </x:c>
      <x:c r="U198" s="36" t="str">
        <x:v>retrieve_and_execute</x:v>
      </x:c>
      <x:c r="V198" s="36" t="str">
        <x:v>[{"point_id":"P1","description":"主要处理方式与预期动作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x:v>
      </x:c>
      <x:c r="W198" s="36" t="str">
        <x:v>1.00</x:v>
      </x:c>
      <x:c r="X198" s="39" t="str">
        <x:v>这份表要给使用逗号小数的同事看，帮我统一显示方式，但保留原来的精度。</x:v>
      </x:c>
      <x:c r="Y198"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198" s="39" t="str">
        <x:v>不适用：当前题目不存在需要用户进一步选择的候选记忆。</x:v>
      </x:c>
      <x:c r="AA198" s="39" t="str">
        <x:v>不适用：当前题目没有指定需要排除的冲突或禁止记忆。</x:v>
      </x:c>
      <x:c r="AB198" s="39" t="str">
        <x:v>应执行以下操作：在 Set_Decimal_Separator_Dot.xlsx 中把整张表数值的小数分隔符显示为逗号，同时保持各个小数的实际数值和精度不变。</x:v>
      </x:c>
      <x:c r="AC198" s="39" t="str">
        <x:v>第1项实际操作：在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198" s="39" t="str">
        <x:v>用户的完整请求是：“这份表要给使用逗号小数的同事看，帮我统一显示方式，但保留原来的精度。”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x:v>
      </x:c>
      <x:c r="AE19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198" s="50" t="str">
        <x:v>not_pass</x:v>
      </x:c>
      <x:c r="AG198" s="50" t="n">
        <x:v>0</x:v>
      </x:c>
    </x:row>
    <x:row r="199" ht="175.5" customHeight="1">
      <x:c r="A199" s="35" t="str">
        <x:v>a01fbce3-2793-461f-ab86-43680ccbae25_HQ3</x:v>
      </x:c>
      <x:c r="B199" s="36" t="str">
        <x:v>SG_TASK_a01fbce3-2793-461f-ab86-43680ccbae25</x:v>
      </x:c>
      <x:c r="C199" s="36" t="str">
        <x:v>a01fbce3-2793-461f-ab86-43680ccbae25</x:v>
      </x:c>
      <x:c r="D199" s="36" t="str">
        <x:v>Set_Decimal_Separator_Dot.xlsx</x:v>
      </x:c>
      <x:c r="E199" s="36" t="str">
        <x:v>single_memory</x:v>
      </x:c>
      <x:c r="F199" s="36" t="str">
        <x:v>contextual_ellipsis</x:v>
      </x:c>
      <x:c r="G199" s="36" t="str">
        <x:v>train</x:v>
      </x:c>
      <x:c r="H199" s="36" t="str">
        <x:v>中等</x:v>
      </x:c>
      <x:c r="I199" s="36" t="str">
        <x:v>a01fbce3-2793-461f-ab86-43680ccbae25</x:v>
      </x:c>
      <x:c r="J199" s="36" t="str">
        <x:v>CTX_a01fbce3-2793-461f-ab86-43680ccbae25</x:v>
      </x:c>
      <x:c r="K199" s="36" t="str">
        <x:v>STM_a01fbce3-2793-461f-ab86-43680ccbae25</x:v>
      </x:c>
      <x:c r="L199" s="36" t="str"/>
      <x:c r="M199" s="36" t="str"/>
      <x:c r="N199" s="36" t="str">
        <x:v>工作流程</x:v>
      </x:c>
      <x:c r="O199" s="36" t="str">
        <x:v>短期</x:v>
      </x:c>
      <x:c r="P199" s="36" t="str">
        <x:v>["libreoffice_calc"]</x:v>
      </x:c>
      <x:c r="Q199" s="36" t="str">
        <x:v>[{"step_id":"S1","app":"libreoffice_calc","action_key":"set_decimal_separator_comma","input_artifacts":["Set_Decimal_Separator_Dot.xlsx"],"output_artifacts":["[\"Set_Decimal_Separator_Dot.xlsx\",\"Set_Decimal_Separator_Dot-Sheet1.csv\"]"],"depends_on":[]}]</x:v>
      </x:c>
      <x:c r="R199" s="36" t="str">
        <x:v>[]</x:v>
      </x:c>
      <x:c r="S199" s="36" t="str">
        <x:v>set_decimal_separator_comma</x:v>
      </x:c>
      <x:c r="T199" s="36" t="str">
        <x:v>Set_Decimal_Separator_Dot.xlsx</x:v>
      </x:c>
      <x:c r="U199" s="36" t="str">
        <x:v>retrieve_and_execute</x:v>
      </x:c>
      <x:c r="V199" s="36" t="str">
        <x:v>[{"point_id":"P1","description":"主要处理方式与预期动作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x:v>
      </x:c>
      <x:c r="W199" s="36" t="str">
        <x:v>1.00</x:v>
      </x:c>
      <x:c r="X199" s="39" t="str">
        <x:v>当前文件继续调整小数分隔符，所有数字都处理。</x:v>
      </x:c>
      <x:c r="Y199"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199" s="39" t="str">
        <x:v>不适用：当前题目不存在需要用户进一步选择的候选记忆。</x:v>
      </x:c>
      <x:c r="AA199" s="39" t="str">
        <x:v>不适用：当前题目没有指定需要排除的冲突或禁止记忆。</x:v>
      </x:c>
      <x:c r="AB199" s="39" t="str">
        <x:v>应执行以下操作：在 Set_Decimal_Separator_Dot.xlsx 中把整张表数值的小数分隔符显示为逗号，同时保持各个小数的实际数值和精度不变。</x:v>
      </x:c>
      <x:c r="AC199" s="39" t="str">
        <x:v>第1项实际操作：在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199" s="39" t="str">
        <x:v>用户的完整请求是：“当前文件继续调整小数分隔符，所有数字都处理。”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x:v>
      </x:c>
      <x:c r="AE19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199" s="50" t="str">
        <x:v>not_pass</x:v>
      </x:c>
      <x:c r="AG199" s="50" t="n">
        <x:v>0</x:v>
      </x:c>
    </x:row>
    <x:row r="200" ht="175.5" customHeight="1">
      <x:c r="A200" s="35" t="str">
        <x:v>a01fbce3-2793-461f-ab86-43680ccbae25_HQ4</x:v>
      </x:c>
      <x:c r="B200" s="36" t="str">
        <x:v>SG_TASK_a01fbce3-2793-461f-ab86-43680ccbae25</x:v>
      </x:c>
      <x:c r="C200" s="36" t="str">
        <x:v>a01fbce3-2793-461f-ab86-43680ccbae25</x:v>
      </x:c>
      <x:c r="D200" s="36" t="str">
        <x:v>Set_Decimal_Separator_Dot.xlsx</x:v>
      </x:c>
      <x:c r="E200" s="36" t="str">
        <x:v>single_memory</x:v>
      </x:c>
      <x:c r="F200" s="36" t="str">
        <x:v>low_overlap_paraphrase</x:v>
      </x:c>
      <x:c r="G200" s="36" t="str">
        <x:v>train</x:v>
      </x:c>
      <x:c r="H200" s="36" t="str">
        <x:v>困难</x:v>
      </x:c>
      <x:c r="I200" s="36" t="str">
        <x:v>a01fbce3-2793-461f-ab86-43680ccbae25</x:v>
      </x:c>
      <x:c r="J200" s="36" t="str">
        <x:v>CTX_a01fbce3-2793-461f-ab86-43680ccbae25</x:v>
      </x:c>
      <x:c r="K200" s="36" t="str">
        <x:v>STM_a01fbce3-2793-461f-ab86-43680ccbae25</x:v>
      </x:c>
      <x:c r="L200" s="36" t="str"/>
      <x:c r="M200" s="36" t="str"/>
      <x:c r="N200" s="36" t="str">
        <x:v>工作流程</x:v>
      </x:c>
      <x:c r="O200" s="36" t="str">
        <x:v>短期</x:v>
      </x:c>
      <x:c r="P200" s="36" t="str">
        <x:v>["libreoffice_calc"]</x:v>
      </x:c>
      <x:c r="Q200" s="36" t="str">
        <x:v>[{"step_id":"S1","app":"libreoffice_calc","action_key":"set_decimal_separator_comma","input_artifacts":["Set_Decimal_Separator_Dot.xlsx"],"output_artifacts":["[\"Set_Decimal_Separator_Dot.xlsx\",\"Set_Decimal_Separator_Dot-Sheet1.csv\"]"],"depends_on":[]}]</x:v>
      </x:c>
      <x:c r="R200" s="36" t="str">
        <x:v>[]</x:v>
      </x:c>
      <x:c r="S200" s="36" t="str">
        <x:v>set_decimal_separator_comma</x:v>
      </x:c>
      <x:c r="T200" s="36" t="str">
        <x:v>Set_Decimal_Separator_Dot.xlsx</x:v>
      </x:c>
      <x:c r="U200" s="36" t="str">
        <x:v>retrieve_and_execute</x:v>
      </x:c>
      <x:c r="V200" s="36" t="str">
        <x:v>[{"point_id":"P1","description":"主要处理方式与预期动作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x:v>
      </x:c>
      <x:c r="W200" s="36" t="str">
        <x:v>1.00</x:v>
      </x:c>
      <x:c r="X200" s="39" t="str">
        <x:v>我只想换一种地区显示习惯，不是重新计算或四舍五入这些数据。</x:v>
      </x:c>
      <x:c r="Y200"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00" s="39" t="str">
        <x:v>不适用：当前题目不存在需要用户进一步选择的候选记忆。</x:v>
      </x:c>
      <x:c r="AA200" s="39" t="str">
        <x:v>不适用：当前题目没有指定需要排除的冲突或禁止记忆。</x:v>
      </x:c>
      <x:c r="AB200" s="39" t="str">
        <x:v>应执行以下操作：在 Set_Decimal_Separator_Dot.xlsx 中把整张表数值的小数分隔符显示为逗号，同时保持各个小数的实际数值和精度不变。</x:v>
      </x:c>
      <x:c r="AC200" s="39" t="str">
        <x:v>第1项实际操作：在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00" s="39" t="str">
        <x:v>用户的完整请求是：“我只想换一种地区显示习惯，不是重新计算或四舍五入这些数据。”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x:v>
      </x:c>
      <x:c r="AE20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00" s="50" t="str">
        <x:v>not_pass</x:v>
      </x:c>
      <x:c r="AG200" s="50" t="n">
        <x:v>0</x:v>
      </x:c>
    </x:row>
    <x:row r="201" ht="175.5" customHeight="1">
      <x:c r="A201" s="35" t="str">
        <x:v>a01fbce3-2793-461f-ab86-43680ccbae25_HQ5</x:v>
      </x:c>
      <x:c r="B201" s="36" t="str">
        <x:v>SG_TASK_a01fbce3-2793-461f-ab86-43680ccbae25</x:v>
      </x:c>
      <x:c r="C201" s="36" t="str">
        <x:v>a01fbce3-2793-461f-ab86-43680ccbae25</x:v>
      </x:c>
      <x:c r="D201" s="36" t="str">
        <x:v>Set_Decimal_Separator_Dot.xlsx</x:v>
      </x:c>
      <x:c r="E201" s="36" t="str">
        <x:v>single_memory</x:v>
      </x:c>
      <x:c r="F201" s="36" t="str">
        <x:v>human_constraint_emphasis</x:v>
      </x:c>
      <x:c r="G201" s="36" t="str">
        <x:v>train</x:v>
      </x:c>
      <x:c r="H201" s="36" t="str">
        <x:v>困难</x:v>
      </x:c>
      <x:c r="I201" s="36" t="str">
        <x:v>a01fbce3-2793-461f-ab86-43680ccbae25</x:v>
      </x:c>
      <x:c r="J201" s="36" t="str">
        <x:v>CTX_a01fbce3-2793-461f-ab86-43680ccbae25</x:v>
      </x:c>
      <x:c r="K201" s="36" t="str">
        <x:v>STM_a01fbce3-2793-461f-ab86-43680ccbae25</x:v>
      </x:c>
      <x:c r="L201" s="36" t="str"/>
      <x:c r="M201" s="36" t="str"/>
      <x:c r="N201" s="36" t="str">
        <x:v>工作流程</x:v>
      </x:c>
      <x:c r="O201" s="36" t="str">
        <x:v>短期</x:v>
      </x:c>
      <x:c r="P201" s="36" t="str">
        <x:v>["libreoffice_calc"]</x:v>
      </x:c>
      <x:c r="Q201" s="36" t="str">
        <x:v>[{"step_id":"S1","app":"libreoffice_calc","action_key":"set_decimal_separator_comma","input_artifacts":["Set_Decimal_Separator_Dot.xlsx"],"output_artifacts":["[\"Set_Decimal_Separator_Dot.xlsx\",\"Set_Decimal_Separator_Dot-Sheet1.csv\"]"],"depends_on":[]}]</x:v>
      </x:c>
      <x:c r="R201" s="36" t="str">
        <x:v>[]</x:v>
      </x:c>
      <x:c r="S201" s="36" t="str">
        <x:v>set_decimal_separator_comma</x:v>
      </x:c>
      <x:c r="T201" s="36" t="str">
        <x:v>Set_Decimal_Separator_Dot.xlsx</x:v>
      </x:c>
      <x:c r="U201" s="36" t="str">
        <x:v>retrieve_and_execute</x:v>
      </x:c>
      <x:c r="V201" s="36" t="str">
        <x:v>[{"point_id":"P1","description":"主要处理方式与预期动作 set_decimal_separator_comma 语义一致","weight":0.4,"evidence_memory_ids":["STM_a01fbce3-2793-461f-ab86-43680ccbae25"]},{"point_id":"P2","description":"正确定位目标对象 Set_Decimal_Separator_Dot.xlsx","weight":0.2,"evidence_memory_ids":["STM_a01fbce3-2793-461f-ab86-43680ccbae25"]},{"point_id":"P3","description":"满足关键条件：小数分隔符改为逗号；不得改变数值大小或已有小数位；覆盖表内所有数值","weight":0.3,"evidence_memory_ids":["STM_a01fbce3-2793-461f-ab86-43680ccbae25"]},{"point_id":"P4","description":"不增加无记忆证据支持的操作","weight":0.1,"evidence_memory_ids":["STM_a01fbce3-2793-461f-ab86-43680ccbae25"]}]</x:v>
      </x:c>
      <x:c r="W201" s="36" t="str">
        <x:v>1.00</x:v>
      </x:c>
      <x:c r="X201" s="39" t="str">
        <x:v>整表 decimal separator 改成逗号，原数值和小数位保持不动。</x:v>
      </x:c>
      <x:c r="Y201"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01" s="39" t="str">
        <x:v>不适用：当前题目不存在需要用户进一步选择的候选记忆。</x:v>
      </x:c>
      <x:c r="AA201" s="39" t="str">
        <x:v>不适用：当前题目没有指定需要排除的冲突或禁止记忆。</x:v>
      </x:c>
      <x:c r="AB201" s="39" t="str">
        <x:v>应执行以下操作：在 Set_Decimal_Separator_Dot.xlsx 中把整张表数值的小数分隔符显示为逗号，同时保持各个小数的实际数值和精度不变。</x:v>
      </x:c>
      <x:c r="AC201" s="39" t="str">
        <x:v>第1项实际操作：在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01" s="39" t="str">
        <x:v>用户的完整请求是：“整表 decimal separator 改成逗号，原数值和小数位保持不动。” 第1个当前上下文：Set_Decimal_Separator_Dot.xlsx 已在 LibreOffice Calc 中打开。 当前请求是在已有办公上下文中继续、复用或重新强调既有处理方式。与该请求唯一对应的完整必需记忆如下：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Set_Decimal_Separator_Dot.xlsx 中把整张表数值的小数分隔符显示为逗号，同时保持各个小数的实际数值和精度不变。”</x:v>
      </x:c>
      <x:c r="AE20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第2个得分点（0.20分）：正确定位目标对象 Set_Decimal_Separator_Dot.xlsx。该得分点所依据的完整证据为：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第3个得分点（0.30分）：满足关键条件：小数分隔符改为逗号；不得改变数值大小或已有小数位；覆盖表内所有数值。该得分点所依据的完整证据为：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第4个得分点（0.10分）：不增加无记忆证据支持的操作。该得分点所依据的完整证据为：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01" s="50" t="str">
        <x:v>not_pass</x:v>
      </x:c>
      <x:c r="AG201" s="50" t="n">
        <x:v>0</x:v>
      </x:c>
    </x:row>
    <x:row r="202" ht="189" customHeight="1">
      <x:c r="A202" s="35" t="str">
        <x:v>a9f325aa-8c05-4e4f-8341-9e4358565f4f_HQ1</x:v>
      </x:c>
      <x:c r="B202" s="36" t="str">
        <x:v>SG_TASK_a9f325aa-8c05-4e4f-8341-9e4358565f4f</x:v>
      </x:c>
      <x:c r="C202" s="36" t="str">
        <x:v>a9f325aa-8c05-4e4f-8341-9e4358565f4f</x:v>
      </x:c>
      <x:c r="D202" s="36" t="str">
        <x:v>Movie_title_garbage_clean.xlsx</x:v>
      </x:c>
      <x:c r="E202" s="36" t="str">
        <x:v>single_memory</x:v>
      </x:c>
      <x:c r="F202" s="36" t="str">
        <x:v>human_context_explicit</x:v>
      </x:c>
      <x:c r="G202" s="36" t="str">
        <x:v>train</x:v>
      </x:c>
      <x:c r="H202" s="36" t="str">
        <x:v>简单</x:v>
      </x:c>
      <x:c r="I202" s="36" t="str">
        <x:v>a9f325aa-8c05-4e4f-8341-9e4358565f4f</x:v>
      </x:c>
      <x:c r="J202" s="36" t="str">
        <x:v>CTX_a9f325aa-8c05-4e4f-8341-9e4358565f4f</x:v>
      </x:c>
      <x:c r="K202" s="36" t="str">
        <x:v>MTM_a9f325aa-8c05-4e4f-8341-9e4358565f4f</x:v>
      </x:c>
      <x:c r="L202" s="36" t="str"/>
      <x:c r="M202" s="36" t="str"/>
      <x:c r="N202" s="36" t="str">
        <x:v>工作流程</x:v>
      </x:c>
      <x:c r="O202" s="36" t="str">
        <x:v>中期</x:v>
      </x:c>
      <x:c r="P202" s="36" t="str">
        <x:v>["libreoffice_calc"]</x:v>
      </x:c>
      <x:c r="Q202" s="36" t="str">
        <x:v>[{"step_id":"S1","app":"libreoffice_calc","action_key":"clean_movie_titles","input_artifacts":["Movie_title_garbage_clean.xlsx"],"output_artifacts":["Movie_title_garbage_clean.xlsx"],"depends_on":[]}]</x:v>
      </x:c>
      <x:c r="R202" s="36" t="str">
        <x:v>[]</x:v>
      </x:c>
      <x:c r="S202" s="36" t="str">
        <x:v>clean_movie_titles</x:v>
      </x:c>
      <x:c r="T202" s="36" t="str">
        <x:v>Movie_title_garbage_clean.xlsx</x:v>
      </x:c>
      <x:c r="U202" s="36" t="str">
        <x:v>retrieve_and_execute</x:v>
      </x:c>
      <x:c r="V202" s="36" t="str">
        <x:v>[{"point_id":"P1","description":"主要处理方式与预期动作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x:v>
      </x:c>
      <x:c r="W202" s="36" t="str">
        <x:v>1.00</x:v>
      </x:c>
      <x:c r="X202" s="39" t="str">
        <x:v>Movie_title_garbage_clean.xlsx 的电影名按之前的清洗规则放到 Clean Movie Titles。</x:v>
      </x:c>
      <x:c r="Y202"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202" s="39" t="str">
        <x:v>不适用：当前题目不存在需要用户进一步选择的候选记忆。</x:v>
      </x:c>
      <x:c r="AA202" s="39" t="str">
        <x:v>不适用：当前题目没有指定需要排除的冲突或禁止记忆。</x:v>
      </x:c>
      <x:c r="AB202" s="39" t="str">
        <x:v>应执行以下操作：把 Movie_title_garbage_clean.xlsx 中 Garbage Movie Titles 的标题复制到 Clean Movie Titles，去掉多余空格，并将每个单词首字母大写、其余字母小写。</x:v>
      </x:c>
      <x:c r="AC202"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x:v>
      </x:c>
      <x:c r="AD202" s="39" t="str">
        <x:v>用户的完整请求是：“Movie_title_garbage_clean.xlsx 的电影名按之前的清洗规则放到 Clean Movie Titles。”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x:v>
      </x:c>
      <x:c r="AE20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x:v>
      </x:c>
      <x:c r="AF202" s="50" t="str">
        <x:v>not_pass</x:v>
      </x:c>
      <x:c r="AG202" s="50" t="n">
        <x:v>0</x:v>
      </x:c>
    </x:row>
    <x:row r="203" ht="189" customHeight="1">
      <x:c r="A203" s="35" t="str">
        <x:v>a9f325aa-8c05-4e4f-8341-9e4358565f4f_HQ2</x:v>
      </x:c>
      <x:c r="B203" s="36" t="str">
        <x:v>SG_TASK_a9f325aa-8c05-4e4f-8341-9e4358565f4f</x:v>
      </x:c>
      <x:c r="C203" s="36" t="str">
        <x:v>a9f325aa-8c05-4e4f-8341-9e4358565f4f</x:v>
      </x:c>
      <x:c r="D203" s="36" t="str">
        <x:v>Movie_title_garbage_clean.xlsx</x:v>
      </x:c>
      <x:c r="E203" s="36" t="str">
        <x:v>single_memory</x:v>
      </x:c>
      <x:c r="F203" s="36" t="str">
        <x:v>human_goal_oriented</x:v>
      </x:c>
      <x:c r="G203" s="36" t="str">
        <x:v>train</x:v>
      </x:c>
      <x:c r="H203" s="36" t="str">
        <x:v>中等</x:v>
      </x:c>
      <x:c r="I203" s="36" t="str">
        <x:v>a9f325aa-8c05-4e4f-8341-9e4358565f4f</x:v>
      </x:c>
      <x:c r="J203" s="36" t="str">
        <x:v>CTX_a9f325aa-8c05-4e4f-8341-9e4358565f4f</x:v>
      </x:c>
      <x:c r="K203" s="36" t="str">
        <x:v>MTM_a9f325aa-8c05-4e4f-8341-9e4358565f4f</x:v>
      </x:c>
      <x:c r="L203" s="36" t="str"/>
      <x:c r="M203" s="36" t="str"/>
      <x:c r="N203" s="36" t="str">
        <x:v>工作流程</x:v>
      </x:c>
      <x:c r="O203" s="36" t="str">
        <x:v>中期</x:v>
      </x:c>
      <x:c r="P203" s="36" t="str">
        <x:v>["libreoffice_calc"]</x:v>
      </x:c>
      <x:c r="Q203" s="36" t="str">
        <x:v>[{"step_id":"S1","app":"libreoffice_calc","action_key":"clean_movie_titles","input_artifacts":["Movie_title_garbage_clean.xlsx"],"output_artifacts":["Movie_title_garbage_clean.xlsx"],"depends_on":[]}]</x:v>
      </x:c>
      <x:c r="R203" s="36" t="str">
        <x:v>[]</x:v>
      </x:c>
      <x:c r="S203" s="36" t="str">
        <x:v>clean_movie_titles</x:v>
      </x:c>
      <x:c r="T203" s="36" t="str">
        <x:v>Movie_title_garbage_clean.xlsx</x:v>
      </x:c>
      <x:c r="U203" s="36" t="str">
        <x:v>retrieve_and_execute</x:v>
      </x:c>
      <x:c r="V203" s="36" t="str">
        <x:v>[{"point_id":"P1","description":"主要处理方式与预期动作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x:v>
      </x:c>
      <x:c r="W203" s="36" t="str">
        <x:v>1.00</x:v>
      </x:c>
      <x:c r="X203" s="39" t="str">
        <x:v>这些片名空格和大小写很乱，帮我复制到新列后去掉多余空白，并统一成每个词首字母大写。</x:v>
      </x:c>
      <x:c r="Y203"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203" s="39" t="str">
        <x:v>不适用：当前题目不存在需要用户进一步选择的候选记忆。</x:v>
      </x:c>
      <x:c r="AA203" s="39" t="str">
        <x:v>不适用：当前题目没有指定需要排除的冲突或禁止记忆。</x:v>
      </x:c>
      <x:c r="AB203" s="39" t="str">
        <x:v>应执行以下操作：把 Movie_title_garbage_clean.xlsx 中 Garbage Movie Titles 的标题复制到 Clean Movie Titles，去掉多余空格，并将每个单词首字母大写、其余字母小写。</x:v>
      </x:c>
      <x:c r="AC203"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x:v>
      </x:c>
      <x:c r="AD203" s="39" t="str">
        <x:v>用户的完整请求是：“这些片名空格和大小写很乱，帮我复制到新列后去掉多余空白，并统一成每个词首字母大写。”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x:v>
      </x:c>
      <x:c r="AE20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x:v>
      </x:c>
      <x:c r="AF203" s="50" t="str">
        <x:v>not_pass</x:v>
      </x:c>
      <x:c r="AG203" s="50" t="n">
        <x:v>0</x:v>
      </x:c>
    </x:row>
    <x:row r="204" ht="189" customHeight="1">
      <x:c r="A204" s="35" t="str">
        <x:v>a9f325aa-8c05-4e4f-8341-9e4358565f4f_HQ3</x:v>
      </x:c>
      <x:c r="B204" s="36" t="str">
        <x:v>SG_TASK_a9f325aa-8c05-4e4f-8341-9e4358565f4f</x:v>
      </x:c>
      <x:c r="C204" s="36" t="str">
        <x:v>a9f325aa-8c05-4e4f-8341-9e4358565f4f</x:v>
      </x:c>
      <x:c r="D204" s="36" t="str">
        <x:v>Movie_title_garbage_clean.xlsx</x:v>
      </x:c>
      <x:c r="E204" s="36" t="str">
        <x:v>single_memory</x:v>
      </x:c>
      <x:c r="F204" s="36" t="str">
        <x:v>contextual_ellipsis</x:v>
      </x:c>
      <x:c r="G204" s="36" t="str">
        <x:v>train</x:v>
      </x:c>
      <x:c r="H204" s="36" t="str">
        <x:v>中等</x:v>
      </x:c>
      <x:c r="I204" s="36" t="str">
        <x:v>a9f325aa-8c05-4e4f-8341-9e4358565f4f</x:v>
      </x:c>
      <x:c r="J204" s="36" t="str">
        <x:v>CTX_a9f325aa-8c05-4e4f-8341-9e4358565f4f</x:v>
      </x:c>
      <x:c r="K204" s="36" t="str">
        <x:v>MTM_a9f325aa-8c05-4e4f-8341-9e4358565f4f</x:v>
      </x:c>
      <x:c r="L204" s="36" t="str"/>
      <x:c r="M204" s="36" t="str"/>
      <x:c r="N204" s="36" t="str">
        <x:v>工作流程</x:v>
      </x:c>
      <x:c r="O204" s="36" t="str">
        <x:v>中期</x:v>
      </x:c>
      <x:c r="P204" s="36" t="str">
        <x:v>["libreoffice_calc"]</x:v>
      </x:c>
      <x:c r="Q204" s="36" t="str">
        <x:v>[{"step_id":"S1","app":"libreoffice_calc","action_key":"clean_movie_titles","input_artifacts":["Movie_title_garbage_clean.xlsx"],"output_artifacts":["Movie_title_garbage_clean.xlsx"],"depends_on":[]}]</x:v>
      </x:c>
      <x:c r="R204" s="36" t="str">
        <x:v>[]</x:v>
      </x:c>
      <x:c r="S204" s="36" t="str">
        <x:v>clean_movie_titles</x:v>
      </x:c>
      <x:c r="T204" s="36" t="str">
        <x:v>Movie_title_garbage_clean.xlsx</x:v>
      </x:c>
      <x:c r="U204" s="36" t="str">
        <x:v>retrieve_and_execute</x:v>
      </x:c>
      <x:c r="V204" s="36" t="str">
        <x:v>[{"point_id":"P1","description":"主要处理方式与预期动作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x:v>
      </x:c>
      <x:c r="W204" s="36" t="str">
        <x:v>1.00</x:v>
      </x:c>
      <x:c r="X204" s="39" t="str">
        <x:v>当前文件继续清理标题，Garbage 那列保留作对照。</x:v>
      </x:c>
      <x:c r="Y204"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204" s="39" t="str">
        <x:v>不适用：当前题目不存在需要用户进一步选择的候选记忆。</x:v>
      </x:c>
      <x:c r="AA204" s="39" t="str">
        <x:v>不适用：当前题目没有指定需要排除的冲突或禁止记忆。</x:v>
      </x:c>
      <x:c r="AB204" s="39" t="str">
        <x:v>应执行以下操作：把 Movie_title_garbage_clean.xlsx 中 Garbage Movie Titles 的标题复制到 Clean Movie Titles，去掉多余空格，并将每个单词首字母大写、其余字母小写。</x:v>
      </x:c>
      <x:c r="AC204"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x:v>
      </x:c>
      <x:c r="AD204" s="39" t="str">
        <x:v>用户的完整请求是：“当前文件继续清理标题，Garbage 那列保留作对照。”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x:v>
      </x:c>
      <x:c r="AE20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x:v>
      </x:c>
      <x:c r="AF204" s="50" t="str">
        <x:v>not_pass</x:v>
      </x:c>
      <x:c r="AG204" s="50" t="n">
        <x:v>0</x:v>
      </x:c>
    </x:row>
    <x:row r="205" ht="189" customHeight="1">
      <x:c r="A205" s="35" t="str">
        <x:v>a9f325aa-8c05-4e4f-8341-9e4358565f4f_HQ4</x:v>
      </x:c>
      <x:c r="B205" s="36" t="str">
        <x:v>SG_TASK_a9f325aa-8c05-4e4f-8341-9e4358565f4f</x:v>
      </x:c>
      <x:c r="C205" s="36" t="str">
        <x:v>a9f325aa-8c05-4e4f-8341-9e4358565f4f</x:v>
      </x:c>
      <x:c r="D205" s="36" t="str">
        <x:v>Movie_title_garbage_clean.xlsx</x:v>
      </x:c>
      <x:c r="E205" s="36" t="str">
        <x:v>single_memory</x:v>
      </x:c>
      <x:c r="F205" s="36" t="str">
        <x:v>low_overlap_paraphrase</x:v>
      </x:c>
      <x:c r="G205" s="36" t="str">
        <x:v>train</x:v>
      </x:c>
      <x:c r="H205" s="36" t="str">
        <x:v>困难</x:v>
      </x:c>
      <x:c r="I205" s="36" t="str">
        <x:v>a9f325aa-8c05-4e4f-8341-9e4358565f4f</x:v>
      </x:c>
      <x:c r="J205" s="36" t="str">
        <x:v>CTX_a9f325aa-8c05-4e4f-8341-9e4358565f4f</x:v>
      </x:c>
      <x:c r="K205" s="36" t="str">
        <x:v>MTM_a9f325aa-8c05-4e4f-8341-9e4358565f4f</x:v>
      </x:c>
      <x:c r="L205" s="36" t="str"/>
      <x:c r="M205" s="36" t="str"/>
      <x:c r="N205" s="36" t="str">
        <x:v>工作流程</x:v>
      </x:c>
      <x:c r="O205" s="36" t="str">
        <x:v>中期</x:v>
      </x:c>
      <x:c r="P205" s="36" t="str">
        <x:v>["libreoffice_calc"]</x:v>
      </x:c>
      <x:c r="Q205" s="36" t="str">
        <x:v>[{"step_id":"S1","app":"libreoffice_calc","action_key":"clean_movie_titles","input_artifacts":["Movie_title_garbage_clean.xlsx"],"output_artifacts":["Movie_title_garbage_clean.xlsx"],"depends_on":[]}]</x:v>
      </x:c>
      <x:c r="R205" s="36" t="str">
        <x:v>[]</x:v>
      </x:c>
      <x:c r="S205" s="36" t="str">
        <x:v>clean_movie_titles</x:v>
      </x:c>
      <x:c r="T205" s="36" t="str">
        <x:v>Movie_title_garbage_clean.xlsx</x:v>
      </x:c>
      <x:c r="U205" s="36" t="str">
        <x:v>retrieve_and_execute</x:v>
      </x:c>
      <x:c r="V205" s="36" t="str">
        <x:v>[{"point_id":"P1","description":"主要处理方式与预期动作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x:v>
      </x:c>
      <x:c r="W205" s="36" t="str">
        <x:v>1.00</x:v>
      </x:c>
      <x:c r="X205" s="39" t="str">
        <x:v>为了导入片库，我要一列规范名称：词间空格正常、大小写统一，但原数据不能丢。</x:v>
      </x:c>
      <x:c r="Y205"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205" s="39" t="str">
        <x:v>不适用：当前题目不存在需要用户进一步选择的候选记忆。</x:v>
      </x:c>
      <x:c r="AA205" s="39" t="str">
        <x:v>不适用：当前题目没有指定需要排除的冲突或禁止记忆。</x:v>
      </x:c>
      <x:c r="AB205" s="39" t="str">
        <x:v>应执行以下操作：把 Movie_title_garbage_clean.xlsx 中 Garbage Movie Titles 的标题复制到 Clean Movie Titles，去掉多余空格，并将每个单词首字母大写、其余字母小写。</x:v>
      </x:c>
      <x:c r="AC205"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x:v>
      </x:c>
      <x:c r="AD205" s="39" t="str">
        <x:v>用户的完整请求是：“为了导入片库，我要一列规范名称：词间空格正常、大小写统一，但原数据不能丢。”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x:v>
      </x:c>
      <x:c r="AE20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x:v>
      </x:c>
      <x:c r="AF205" s="50" t="str">
        <x:v>not_pass</x:v>
      </x:c>
      <x:c r="AG205" s="50" t="n">
        <x:v>0</x:v>
      </x:c>
    </x:row>
    <x:row r="206" ht="189" customHeight="1">
      <x:c r="A206" s="35" t="str">
        <x:v>a9f325aa-8c05-4e4f-8341-9e4358565f4f_HQ5</x:v>
      </x:c>
      <x:c r="B206" s="36" t="str">
        <x:v>SG_TASK_a9f325aa-8c05-4e4f-8341-9e4358565f4f</x:v>
      </x:c>
      <x:c r="C206" s="36" t="str">
        <x:v>a9f325aa-8c05-4e4f-8341-9e4358565f4f</x:v>
      </x:c>
      <x:c r="D206" s="36" t="str">
        <x:v>Movie_title_garbage_clean.xlsx</x:v>
      </x:c>
      <x:c r="E206" s="36" t="str">
        <x:v>single_memory</x:v>
      </x:c>
      <x:c r="F206" s="36" t="str">
        <x:v>human_constraint_emphasis</x:v>
      </x:c>
      <x:c r="G206" s="36" t="str">
        <x:v>train</x:v>
      </x:c>
      <x:c r="H206" s="36" t="str">
        <x:v>困难</x:v>
      </x:c>
      <x:c r="I206" s="36" t="str">
        <x:v>a9f325aa-8c05-4e4f-8341-9e4358565f4f</x:v>
      </x:c>
      <x:c r="J206" s="36" t="str">
        <x:v>CTX_a9f325aa-8c05-4e4f-8341-9e4358565f4f</x:v>
      </x:c>
      <x:c r="K206" s="36" t="str">
        <x:v>MTM_a9f325aa-8c05-4e4f-8341-9e4358565f4f</x:v>
      </x:c>
      <x:c r="L206" s="36" t="str"/>
      <x:c r="M206" s="36" t="str"/>
      <x:c r="N206" s="36" t="str">
        <x:v>工作流程</x:v>
      </x:c>
      <x:c r="O206" s="36" t="str">
        <x:v>中期</x:v>
      </x:c>
      <x:c r="P206" s="36" t="str">
        <x:v>["libreoffice_calc"]</x:v>
      </x:c>
      <x:c r="Q206" s="36" t="str">
        <x:v>[{"step_id":"S1","app":"libreoffice_calc","action_key":"clean_movie_titles","input_artifacts":["Movie_title_garbage_clean.xlsx"],"output_artifacts":["Movie_title_garbage_clean.xlsx"],"depends_on":[]}]</x:v>
      </x:c>
      <x:c r="R206" s="36" t="str">
        <x:v>[]</x:v>
      </x:c>
      <x:c r="S206" s="36" t="str">
        <x:v>clean_movie_titles</x:v>
      </x:c>
      <x:c r="T206" s="36" t="str">
        <x:v>Movie_title_garbage_clean.xlsx</x:v>
      </x:c>
      <x:c r="U206" s="36" t="str">
        <x:v>retrieve_and_execute</x:v>
      </x:c>
      <x:c r="V206" s="36" t="str">
        <x:v>[{"point_id":"P1","description":"主要处理方式与预期动作 clean_movie_titles 语义一致","weight":0.4,"evidence_memory_ids":["MTM_a9f325aa-8c05-4e4f-8341-9e4358565f4f"]},{"point_id":"P2","description":"正确定位目标对象 Movie_title_garbage_clean.xlsx","weight":0.2,"evidence_memory_ids":["MTM_a9f325aa-8c05-4e4f-8341-9e4358565f4f"]},{"point_id":"P3","description":"满足关键条件：保留原始脏标题列；清理多余空格；使用单词首字母大写格式；不修改无关区域","weight":0.3,"evidence_memory_ids":["MTM_a9f325aa-8c05-4e4f-8341-9e4358565f4f"]},{"point_id":"P4","description":"不增加无记忆证据支持的操作","weight":0.1,"evidence_memory_ids":["MTM_a9f325aa-8c05-4e4f-8341-9e4358565f4f"]}]</x:v>
      </x:c>
      <x:c r="W206" s="36" t="str">
        <x:v>1.00</x:v>
      </x:c>
      <x:c r="X206" s="39" t="str">
        <x:v>从 Garbage Movie Titles 复制到 Clean Movie Titles，再去冗余空格并转成 Title Case。</x:v>
      </x:c>
      <x:c r="Y206"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206" s="39" t="str">
        <x:v>不适用：当前题目不存在需要用户进一步选择的候选记忆。</x:v>
      </x:c>
      <x:c r="AA206" s="39" t="str">
        <x:v>不适用：当前题目没有指定需要排除的冲突或禁止记忆。</x:v>
      </x:c>
      <x:c r="AB206" s="39" t="str">
        <x:v>应执行以下操作：把 Movie_title_garbage_clean.xlsx 中 Garbage Movie Titles 的标题复制到 Clean Movie Titles，去掉多余空格，并将每个单词首字母大写、其余字母小写。</x:v>
      </x:c>
      <x:c r="AC206"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x:v>
      </x:c>
      <x:c r="AD206" s="39" t="str">
        <x:v>用户的完整请求是：“从 Garbage Movie Titles 复制到 Clean Movie Titles，再去冗余空格并转成 Title Case。” 第1个当前上下文：Movie_title_garbage_clean.xlsx 已在 LibreOffice Calc 中打开。 当前请求是在已有办公上下文中继续、复用或重新强调既有处理方式。与该请求唯一对应的完整必需记忆如下：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中出现的少量词语临时猜测，也不能加入记忆证据没有支持的额外修改。最终应给出的完整结论是：“应执行以下操作：把 Movie_title_garbage_clean.xlsx 中 Garbage Movie Titles 的标题复制到 Clean Movie Titles，去掉多余空格，并将每个单词首字母大写、其余字母小写。”</x:v>
      </x:c>
      <x:c r="AE20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第2个得分点（0.20分）：正确定位目标对象 Movie_title_garbage_clean.xlsx。该得分点所依据的完整证据为：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第3个得分点（0.30分）：满足关键条件：保留原始脏标题列；清理多余空格；使用单词首字母大写格式；不修改无关区域。该得分点所依据的完整证据为：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第4个得分点（0.10分）：不增加无记忆证据支持的操作。该得分点所依据的完整证据为：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人工复审时，应依据模型最终给出的信息和实际操作是否满足上述每个得分点分别给分；只命中记忆 ID 但没有形成对应结论不能获得该结论分，形成了正确结论但表达方式不同则不应扣分。</x:v>
      </x:c>
      <x:c r="AF206" s="50" t="str">
        <x:v>not_pass</x:v>
      </x:c>
      <x:c r="AG206" s="50" t="n">
        <x:v>0</x:v>
      </x:c>
    </x:row>
    <x:row r="207" ht="175.5" customHeight="1">
      <x:c r="A207" s="35" t="str">
        <x:v>aa3a8974-2e85-438b-b29e-a64df44deb4b_HQ1</x:v>
      </x:c>
      <x:c r="B207" s="36" t="str">
        <x:v>SG_TASK_aa3a8974-2e85-438b-b29e-a64df44deb4b</x:v>
      </x:c>
      <x:c r="C207" s="36" t="str">
        <x:v>aa3a8974-2e85-438b-b29e-a64df44deb4b</x:v>
      </x:c>
      <x:c r="D207" s="36" t="str">
        <x:v>Resize_Cells_Fit_Page.xlsx</x:v>
      </x:c>
      <x:c r="E207" s="36" t="str">
        <x:v>single_memory</x:v>
      </x:c>
      <x:c r="F207" s="36" t="str">
        <x:v>human_context_explicit</x:v>
      </x:c>
      <x:c r="G207" s="36" t="str">
        <x:v>train</x:v>
      </x:c>
      <x:c r="H207" s="36" t="str">
        <x:v>简单</x:v>
      </x:c>
      <x:c r="I207" s="36" t="str">
        <x:v>aa3a8974-2e85-438b-b29e-a64df44deb4b</x:v>
      </x:c>
      <x:c r="J207" s="36" t="str">
        <x:v>CTX_aa3a8974-2e85-438b-b29e-a64df44deb4b</x:v>
      </x:c>
      <x:c r="K207" s="36" t="str">
        <x:v>STM_aa3a8974-2e85-438b-b29e-a64df44deb4b</x:v>
      </x:c>
      <x:c r="L207" s="36" t="str"/>
      <x:c r="M207" s="36" t="str"/>
      <x:c r="N207" s="36" t="str">
        <x:v>工作流程</x:v>
      </x:c>
      <x:c r="O207" s="36" t="str">
        <x:v>短期</x:v>
      </x:c>
      <x:c r="P207" s="36" t="str">
        <x:v>["libreoffice_calc"]</x:v>
      </x:c>
      <x:c r="Q207" s="36" t="str">
        <x:v>[{"step_id":"S1","app":"libreoffice_calc","action_key":"fit_sheet_to_one_page_and_export_pdf","input_artifacts":["Resize_Cells_Fit_Page.xlsx"],"output_artifacts":["Resize_Cells_Fit_Page.xlsx"],"depends_on":[]}]</x:v>
      </x:c>
      <x:c r="R207" s="36" t="str">
        <x:v>[]</x:v>
      </x:c>
      <x:c r="S207" s="36" t="str">
        <x:v>fit_sheet_to_one_page_and_export_pdf</x:v>
      </x:c>
      <x:c r="T207" s="36" t="str">
        <x:v>Resize_Cells_Fit_Page.xlsx</x:v>
      </x:c>
      <x:c r="U207" s="36" t="str">
        <x:v>retrieve_and_execute</x:v>
      </x:c>
      <x:c r="V207" s="36" t="str">
        <x:v>[{"point_id":"P1","description":"主要处理方式与预期动作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x:v>
      </x:c>
      <x:c r="W207" s="36" t="str">
        <x:v>1.00</x:v>
      </x:c>
      <x:c r="X207" s="39" t="str">
        <x:v>Resize_Cells_Fit_Page.xlsx 按之前的单页版式整理后导出同名 PDF，放到主目录。</x:v>
      </x:c>
      <x:c r="Y207"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07" s="39" t="str">
        <x:v>不适用：当前题目不存在需要用户进一步选择的候选记忆。</x:v>
      </x:c>
      <x:c r="AA207" s="39" t="str">
        <x:v>不适用：当前题目没有指定需要排除的冲突或禁止记忆。</x:v>
      </x:c>
      <x:c r="AB207" s="39" t="str">
        <x:v>应执行以下操作：调整 Resize_Cells_Fit_Page.xlsx 的单元格和页面布局，使内容适合一页显示，然后导出为与原电子表格同名的 PDF，并保存到用户主目录。</x:v>
      </x:c>
      <x:c r="AC207" s="39" t="str">
        <x:v>第1项实际操作：调整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07" s="39" t="str">
        <x:v>用户的完整请求是：“Resize_Cells_Fit_Page.xlsx 按之前的单页版式整理后导出同名 PDF，放到主目录。”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x:v>
      </x:c>
      <x:c r="AE20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07" s="50" t="str">
        <x:v>not_pass</x:v>
      </x:c>
      <x:c r="AG207" s="50" t="n">
        <x:v>0</x:v>
      </x:c>
    </x:row>
    <x:row r="208" ht="175.5" customHeight="1">
      <x:c r="A208" s="35" t="str">
        <x:v>aa3a8974-2e85-438b-b29e-a64df44deb4b_HQ2</x:v>
      </x:c>
      <x:c r="B208" s="36" t="str">
        <x:v>SG_TASK_aa3a8974-2e85-438b-b29e-a64df44deb4b</x:v>
      </x:c>
      <x:c r="C208" s="36" t="str">
        <x:v>aa3a8974-2e85-438b-b29e-a64df44deb4b</x:v>
      </x:c>
      <x:c r="D208" s="36" t="str">
        <x:v>Resize_Cells_Fit_Page.xlsx</x:v>
      </x:c>
      <x:c r="E208" s="36" t="str">
        <x:v>single_memory</x:v>
      </x:c>
      <x:c r="F208" s="36" t="str">
        <x:v>human_goal_oriented</x:v>
      </x:c>
      <x:c r="G208" s="36" t="str">
        <x:v>train</x:v>
      </x:c>
      <x:c r="H208" s="36" t="str">
        <x:v>中等</x:v>
      </x:c>
      <x:c r="I208" s="36" t="str">
        <x:v>aa3a8974-2e85-438b-b29e-a64df44deb4b</x:v>
      </x:c>
      <x:c r="J208" s="36" t="str">
        <x:v>CTX_aa3a8974-2e85-438b-b29e-a64df44deb4b</x:v>
      </x:c>
      <x:c r="K208" s="36" t="str">
        <x:v>STM_aa3a8974-2e85-438b-b29e-a64df44deb4b</x:v>
      </x:c>
      <x:c r="L208" s="36" t="str"/>
      <x:c r="M208" s="36" t="str"/>
      <x:c r="N208" s="36" t="str">
        <x:v>工作流程</x:v>
      </x:c>
      <x:c r="O208" s="36" t="str">
        <x:v>短期</x:v>
      </x:c>
      <x:c r="P208" s="36" t="str">
        <x:v>["libreoffice_calc"]</x:v>
      </x:c>
      <x:c r="Q208" s="36" t="str">
        <x:v>[{"step_id":"S1","app":"libreoffice_calc","action_key":"fit_sheet_to_one_page_and_export_pdf","input_artifacts":["Resize_Cells_Fit_Page.xlsx"],"output_artifacts":["Resize_Cells_Fit_Page.xlsx"],"depends_on":[]}]</x:v>
      </x:c>
      <x:c r="R208" s="36" t="str">
        <x:v>[]</x:v>
      </x:c>
      <x:c r="S208" s="36" t="str">
        <x:v>fit_sheet_to_one_page_and_export_pdf</x:v>
      </x:c>
      <x:c r="T208" s="36" t="str">
        <x:v>Resize_Cells_Fit_Page.xlsx</x:v>
      </x:c>
      <x:c r="U208" s="36" t="str">
        <x:v>retrieve_and_execute</x:v>
      </x:c>
      <x:c r="V208" s="36" t="str">
        <x:v>[{"point_id":"P1","description":"主要处理方式与预期动作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x:v>
      </x:c>
      <x:c r="W208" s="36" t="str">
        <x:v>1.00</x:v>
      </x:c>
      <x:c r="X208" s="39" t="str">
        <x:v>这个项目表打印出来超过一页，帮我调整到一页内，再生成同名的 PDF。</x:v>
      </x:c>
      <x:c r="Y208"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08" s="39" t="str">
        <x:v>不适用：当前题目不存在需要用户进一步选择的候选记忆。</x:v>
      </x:c>
      <x:c r="AA208" s="39" t="str">
        <x:v>不适用：当前题目没有指定需要排除的冲突或禁止记忆。</x:v>
      </x:c>
      <x:c r="AB208" s="39" t="str">
        <x:v>应执行以下操作：调整 Resize_Cells_Fit_Page.xlsx 的单元格和页面布局，使内容适合一页显示，然后导出为与原电子表格同名的 PDF，并保存到用户主目录。</x:v>
      </x:c>
      <x:c r="AC208" s="39" t="str">
        <x:v>第1项实际操作：调整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08" s="39" t="str">
        <x:v>用户的完整请求是：“这个项目表打印出来超过一页，帮我调整到一页内，再生成同名的 PDF。”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x:v>
      </x:c>
      <x:c r="AE20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08" s="50" t="str">
        <x:v>not_pass</x:v>
      </x:c>
      <x:c r="AG208" s="50" t="n">
        <x:v>0</x:v>
      </x:c>
    </x:row>
    <x:row r="209" ht="175.5" customHeight="1">
      <x:c r="A209" s="35" t="str">
        <x:v>aa3a8974-2e85-438b-b29e-a64df44deb4b_HQ3</x:v>
      </x:c>
      <x:c r="B209" s="36" t="str">
        <x:v>SG_TASK_aa3a8974-2e85-438b-b29e-a64df44deb4b</x:v>
      </x:c>
      <x:c r="C209" s="36" t="str">
        <x:v>aa3a8974-2e85-438b-b29e-a64df44deb4b</x:v>
      </x:c>
      <x:c r="D209" s="36" t="str">
        <x:v>Resize_Cells_Fit_Page.xlsx</x:v>
      </x:c>
      <x:c r="E209" s="36" t="str">
        <x:v>single_memory</x:v>
      </x:c>
      <x:c r="F209" s="36" t="str">
        <x:v>contextual_ellipsis</x:v>
      </x:c>
      <x:c r="G209" s="36" t="str">
        <x:v>train</x:v>
      </x:c>
      <x:c r="H209" s="36" t="str">
        <x:v>中等</x:v>
      </x:c>
      <x:c r="I209" s="36" t="str">
        <x:v>aa3a8974-2e85-438b-b29e-a64df44deb4b</x:v>
      </x:c>
      <x:c r="J209" s="36" t="str">
        <x:v>CTX_aa3a8974-2e85-438b-b29e-a64df44deb4b</x:v>
      </x:c>
      <x:c r="K209" s="36" t="str">
        <x:v>STM_aa3a8974-2e85-438b-b29e-a64df44deb4b</x:v>
      </x:c>
      <x:c r="L209" s="36" t="str"/>
      <x:c r="M209" s="36" t="str"/>
      <x:c r="N209" s="36" t="str">
        <x:v>工作流程</x:v>
      </x:c>
      <x:c r="O209" s="36" t="str">
        <x:v>短期</x:v>
      </x:c>
      <x:c r="P209" s="36" t="str">
        <x:v>["libreoffice_calc"]</x:v>
      </x:c>
      <x:c r="Q209" s="36" t="str">
        <x:v>[{"step_id":"S1","app":"libreoffice_calc","action_key":"fit_sheet_to_one_page_and_export_pdf","input_artifacts":["Resize_Cells_Fit_Page.xlsx"],"output_artifacts":["Resize_Cells_Fit_Page.xlsx"],"depends_on":[]}]</x:v>
      </x:c>
      <x:c r="R209" s="36" t="str">
        <x:v>[]</x:v>
      </x:c>
      <x:c r="S209" s="36" t="str">
        <x:v>fit_sheet_to_one_page_and_export_pdf</x:v>
      </x:c>
      <x:c r="T209" s="36" t="str">
        <x:v>Resize_Cells_Fit_Page.xlsx</x:v>
      </x:c>
      <x:c r="U209" s="36" t="str">
        <x:v>retrieve_and_execute</x:v>
      </x:c>
      <x:c r="V209" s="36" t="str">
        <x:v>[{"point_id":"P1","description":"主要处理方式与预期动作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x:v>
      </x:c>
      <x:c r="W209" s="36" t="str">
        <x:v>1.00</x:v>
      </x:c>
      <x:c r="X209" s="39" t="str">
        <x:v>当前文件继续做页面适配和导出，目标位置还是 home。</x:v>
      </x:c>
      <x:c r="Y209"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09" s="39" t="str">
        <x:v>不适用：当前题目不存在需要用户进一步选择的候选记忆。</x:v>
      </x:c>
      <x:c r="AA209" s="39" t="str">
        <x:v>不适用：当前题目没有指定需要排除的冲突或禁止记忆。</x:v>
      </x:c>
      <x:c r="AB209" s="39" t="str">
        <x:v>应执行以下操作：调整 Resize_Cells_Fit_Page.xlsx 的单元格和页面布局，使内容适合一页显示，然后导出为与原电子表格同名的 PDF，并保存到用户主目录。</x:v>
      </x:c>
      <x:c r="AC209" s="39" t="str">
        <x:v>第1项实际操作：调整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09" s="39" t="str">
        <x:v>用户的完整请求是：“当前文件继续做页面适配和导出，目标位置还是 home。”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x:v>
      </x:c>
      <x:c r="AE20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09" s="50" t="str">
        <x:v>not_pass</x:v>
      </x:c>
      <x:c r="AG209" s="50" t="n">
        <x:v>0</x:v>
      </x:c>
    </x:row>
    <x:row r="210" ht="175.5" customHeight="1">
      <x:c r="A210" s="35" t="str">
        <x:v>aa3a8974-2e85-438b-b29e-a64df44deb4b_HQ4</x:v>
      </x:c>
      <x:c r="B210" s="36" t="str">
        <x:v>SG_TASK_aa3a8974-2e85-438b-b29e-a64df44deb4b</x:v>
      </x:c>
      <x:c r="C210" s="36" t="str">
        <x:v>aa3a8974-2e85-438b-b29e-a64df44deb4b</x:v>
      </x:c>
      <x:c r="D210" s="36" t="str">
        <x:v>Resize_Cells_Fit_Page.xlsx</x:v>
      </x:c>
      <x:c r="E210" s="36" t="str">
        <x:v>single_memory</x:v>
      </x:c>
      <x:c r="F210" s="36" t="str">
        <x:v>low_overlap_paraphrase</x:v>
      </x:c>
      <x:c r="G210" s="36" t="str">
        <x:v>train</x:v>
      </x:c>
      <x:c r="H210" s="36" t="str">
        <x:v>困难</x:v>
      </x:c>
      <x:c r="I210" s="36" t="str">
        <x:v>aa3a8974-2e85-438b-b29e-a64df44deb4b</x:v>
      </x:c>
      <x:c r="J210" s="36" t="str">
        <x:v>CTX_aa3a8974-2e85-438b-b29e-a64df44deb4b</x:v>
      </x:c>
      <x:c r="K210" s="36" t="str">
        <x:v>STM_aa3a8974-2e85-438b-b29e-a64df44deb4b</x:v>
      </x:c>
      <x:c r="L210" s="36" t="str"/>
      <x:c r="M210" s="36" t="str"/>
      <x:c r="N210" s="36" t="str">
        <x:v>工作流程</x:v>
      </x:c>
      <x:c r="O210" s="36" t="str">
        <x:v>短期</x:v>
      </x:c>
      <x:c r="P210" s="36" t="str">
        <x:v>["libreoffice_calc"]</x:v>
      </x:c>
      <x:c r="Q210" s="36" t="str">
        <x:v>[{"step_id":"S1","app":"libreoffice_calc","action_key":"fit_sheet_to_one_page_and_export_pdf","input_artifacts":["Resize_Cells_Fit_Page.xlsx"],"output_artifacts":["Resize_Cells_Fit_Page.xlsx"],"depends_on":[]}]</x:v>
      </x:c>
      <x:c r="R210" s="36" t="str">
        <x:v>[]</x:v>
      </x:c>
      <x:c r="S210" s="36" t="str">
        <x:v>fit_sheet_to_one_page_and_export_pdf</x:v>
      </x:c>
      <x:c r="T210" s="36" t="str">
        <x:v>Resize_Cells_Fit_Page.xlsx</x:v>
      </x:c>
      <x:c r="U210" s="36" t="str">
        <x:v>retrieve_and_execute</x:v>
      </x:c>
      <x:c r="V210" s="36" t="str">
        <x:v>[{"point_id":"P1","description":"主要处理方式与预期动作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x:v>
      </x:c>
      <x:c r="W210" s="36" t="str">
        <x:v>1.00</x:v>
      </x:c>
      <x:c r="X210" s="39" t="str">
        <x:v>我要拿它做简洁展示，请把版面压到单页，同时保留原文件名输出 PDF。</x:v>
      </x:c>
      <x:c r="Y210"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10" s="39" t="str">
        <x:v>不适用：当前题目不存在需要用户进一步选择的候选记忆。</x:v>
      </x:c>
      <x:c r="AA210" s="39" t="str">
        <x:v>不适用：当前题目没有指定需要排除的冲突或禁止记忆。</x:v>
      </x:c>
      <x:c r="AB210" s="39" t="str">
        <x:v>应执行以下操作：调整 Resize_Cells_Fit_Page.xlsx 的单元格和页面布局，使内容适合一页显示，然后导出为与原电子表格同名的 PDF，并保存到用户主目录。</x:v>
      </x:c>
      <x:c r="AC210" s="39" t="str">
        <x:v>第1项实际操作：调整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10" s="39" t="str">
        <x:v>用户的完整请求是：“我要拿它做简洁展示，请把版面压到单页，同时保留原文件名输出 PDF。”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x:v>
      </x:c>
      <x:c r="AE21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10" s="50" t="str">
        <x:v>not_pass</x:v>
      </x:c>
      <x:c r="AG210" s="50" t="n">
        <x:v>0</x:v>
      </x:c>
    </x:row>
    <x:row r="211" ht="175.5" customHeight="1">
      <x:c r="A211" s="35" t="str">
        <x:v>aa3a8974-2e85-438b-b29e-a64df44deb4b_HQ5</x:v>
      </x:c>
      <x:c r="B211" s="36" t="str">
        <x:v>SG_TASK_aa3a8974-2e85-438b-b29e-a64df44deb4b</x:v>
      </x:c>
      <x:c r="C211" s="36" t="str">
        <x:v>aa3a8974-2e85-438b-b29e-a64df44deb4b</x:v>
      </x:c>
      <x:c r="D211" s="36" t="str">
        <x:v>Resize_Cells_Fit_Page.xlsx</x:v>
      </x:c>
      <x:c r="E211" s="36" t="str">
        <x:v>single_memory</x:v>
      </x:c>
      <x:c r="F211" s="36" t="str">
        <x:v>human_constraint_emphasis</x:v>
      </x:c>
      <x:c r="G211" s="36" t="str">
        <x:v>train</x:v>
      </x:c>
      <x:c r="H211" s="36" t="str">
        <x:v>困难</x:v>
      </x:c>
      <x:c r="I211" s="36" t="str">
        <x:v>aa3a8974-2e85-438b-b29e-a64df44deb4b</x:v>
      </x:c>
      <x:c r="J211" s="36" t="str">
        <x:v>CTX_aa3a8974-2e85-438b-b29e-a64df44deb4b</x:v>
      </x:c>
      <x:c r="K211" s="36" t="str">
        <x:v>STM_aa3a8974-2e85-438b-b29e-a64df44deb4b</x:v>
      </x:c>
      <x:c r="L211" s="36" t="str"/>
      <x:c r="M211" s="36" t="str"/>
      <x:c r="N211" s="36" t="str">
        <x:v>工作流程</x:v>
      </x:c>
      <x:c r="O211" s="36" t="str">
        <x:v>短期</x:v>
      </x:c>
      <x:c r="P211" s="36" t="str">
        <x:v>["libreoffice_calc"]</x:v>
      </x:c>
      <x:c r="Q211" s="36" t="str">
        <x:v>[{"step_id":"S1","app":"libreoffice_calc","action_key":"fit_sheet_to_one_page_and_export_pdf","input_artifacts":["Resize_Cells_Fit_Page.xlsx"],"output_artifacts":["Resize_Cells_Fit_Page.xlsx"],"depends_on":[]}]</x:v>
      </x:c>
      <x:c r="R211" s="36" t="str">
        <x:v>[]</x:v>
      </x:c>
      <x:c r="S211" s="36" t="str">
        <x:v>fit_sheet_to_one_page_and_export_pdf</x:v>
      </x:c>
      <x:c r="T211" s="36" t="str">
        <x:v>Resize_Cells_Fit_Page.xlsx</x:v>
      </x:c>
      <x:c r="U211" s="36" t="str">
        <x:v>retrieve_and_execute</x:v>
      </x:c>
      <x:c r="V211" s="36" t="str">
        <x:v>[{"point_id":"P1","description":"主要处理方式与预期动作 fit_sheet_to_one_page_and_export_pdf 语义一致","weight":0.4,"evidence_memory_ids":["STM_aa3a8974-2e85-438b-b29e-a64df44deb4b"]},{"point_id":"P2","description":"正确定位目标对象 Resize_Cells_Fit_Page.xlsx","weight":0.2,"evidence_memory_ids":["STM_aa3a8974-2e85-438b-b29e-a64df44deb4b"]},{"point_id":"P3","description":"满足关键条件：输出必须只有一页；PDF 主文件名与原表相同；保存到 home directory","weight":0.3,"evidence_memory_ids":["STM_aa3a8974-2e85-438b-b29e-a64df44deb4b"]},{"point_id":"P4","description":"不增加无记忆证据支持的操作","weight":0.1,"evidence_memory_ids":["STM_aa3a8974-2e85-438b-b29e-a64df44deb4b"]}]</x:v>
      </x:c>
      <x:c r="W211" s="36" t="str">
        <x:v>1.00</x:v>
      </x:c>
      <x:c r="X211" s="39" t="str">
        <x:v>先 fit to one page，再把同名 PDF 放到用户主目录，页数和路径都别错。</x:v>
      </x:c>
      <x:c r="Y211"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11" s="39" t="str">
        <x:v>不适用：当前题目不存在需要用户进一步选择的候选记忆。</x:v>
      </x:c>
      <x:c r="AA211" s="39" t="str">
        <x:v>不适用：当前题目没有指定需要排除的冲突或禁止记忆。</x:v>
      </x:c>
      <x:c r="AB211" s="39" t="str">
        <x:v>应执行以下操作：调整 Resize_Cells_Fit_Page.xlsx 的单元格和页面布局，使内容适合一页显示，然后导出为与原电子表格同名的 PDF，并保存到用户主目录。</x:v>
      </x:c>
      <x:c r="AC211" s="39" t="str">
        <x:v>第1项实际操作：调整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11" s="39" t="str">
        <x:v>用户的完整请求是：“先 fit to one page，再把同名 PDF 放到用户主目录，页数和路径都别错。” 第1个当前上下文：Resize_Cells_Fit_Page.xlsx 已在 LibreOffice Calc 中打开。 当前请求是在已有办公上下文中继续、复用或重新强调既有处理方式。与该请求唯一对应的完整必需记忆如下：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中出现的少量词语临时猜测，也不能加入记忆证据没有支持的额外修改。最终应给出的完整结论是：“应执行以下操作：调整 Resize_Cells_Fit_Page.xlsx 的单元格和页面布局，使内容适合一页显示，然后导出为与原电子表格同名的 PDF，并保存到用户主目录。”</x:v>
      </x:c>
      <x:c r="AE21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第2个得分点（0.20分）：正确定位目标对象 Resize_Cells_Fit_Page.xlsx。该得分点所依据的完整证据为：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第3个得分点（0.30分）：满足关键条件：输出必须只有一页；PDF 主文件名与原表相同；保存到 home directory。该得分点所依据的完整证据为：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第4个得分点（0.10分）：不增加无记忆证据支持的操作。该得分点所依据的完整证据为：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11" s="50" t="str">
        <x:v>not_pass</x:v>
      </x:c>
      <x:c r="AG211" s="50" t="n">
        <x:v>0</x:v>
      </x:c>
    </x:row>
    <x:row r="212" ht="189" customHeight="1">
      <x:c r="A212" s="35" t="str">
        <x:v>abed40dc-063f-4598-8ba5-9fe749c0615d_HQ1</x:v>
      </x:c>
      <x:c r="B212" s="36" t="str">
        <x:v>SG_TASK_abed40dc-063f-4598-8ba5-9fe749c0615d</x:v>
      </x:c>
      <x:c r="C212" s="36" t="str">
        <x:v>abed40dc-063f-4598-8ba5-9fe749c0615d</x:v>
      </x:c>
      <x:c r="D212" s="36" t="str">
        <x:v>Names_Duplicate_Unique.xlsx</x:v>
      </x:c>
      <x:c r="E212" s="36" t="str">
        <x:v>single_memory</x:v>
      </x:c>
      <x:c r="F212" s="36" t="str">
        <x:v>human_context_explicit</x:v>
      </x:c>
      <x:c r="G212" s="36" t="str">
        <x:v>dev</x:v>
      </x:c>
      <x:c r="H212" s="36" t="str">
        <x:v>简单</x:v>
      </x:c>
      <x:c r="I212" s="36" t="str">
        <x:v>abed40dc-063f-4598-8ba5-9fe749c0615d</x:v>
      </x:c>
      <x:c r="J212" s="36" t="str">
        <x:v>CTX_abed40dc-063f-4598-8ba5-9fe749c0615d</x:v>
      </x:c>
      <x:c r="K212" s="36" t="str">
        <x:v>STM_abed40dc-063f-4598-8ba5-9fe749c0615d</x:v>
      </x:c>
      <x:c r="L212" s="36" t="str"/>
      <x:c r="M212" s="36" t="str"/>
      <x:c r="N212" s="36" t="str">
        <x:v>工作流程</x:v>
      </x:c>
      <x:c r="O212" s="36" t="str">
        <x:v>短期</x:v>
      </x:c>
      <x:c r="P212" s="36" t="str">
        <x:v>["libreoffice_calc"]</x:v>
      </x:c>
      <x:c r="Q212" s="36" t="str">
        <x:v>[{"step_id":"S1","app":"libreoffice_calc","action_key":"extract_unique_names_preserving_order","input_artifacts":["Names_Duplicate_Unique.xlsx"],"output_artifacts":["Names_Duplicate_Unique.xlsx"],"depends_on":[]}]</x:v>
      </x:c>
      <x:c r="R212" s="36" t="str">
        <x:v>[]</x:v>
      </x:c>
      <x:c r="S212" s="36" t="str">
        <x:v>extract_unique_names_preserving_order</x:v>
      </x:c>
      <x:c r="T212" s="36" t="str">
        <x:v>Names_Duplicate_Unique.xlsx</x:v>
      </x:c>
      <x:c r="U212" s="36" t="str">
        <x:v>retrieve_and_execute</x:v>
      </x:c>
      <x:c r="V212" s="36" t="str">
        <x:v>[{"point_id":"P1","description":"主要处理方式与预期动作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x:v>
      </x:c>
      <x:c r="W212" s="36" t="str">
        <x:v>1.00</x:v>
      </x:c>
      <x:c r="X212" s="39" t="str">
        <x:v>Names_Duplicate_Unique.xlsx 的名单按之前的去重方法放到 Unique Names，顺序按第一次出现。</x:v>
      </x:c>
      <x:c r="Y212"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212" s="39" t="str">
        <x:v>不适用：当前题目不存在需要用户进一步选择的候选记忆。</x:v>
      </x:c>
      <x:c r="AA212" s="39" t="str">
        <x:v>不适用：当前题目没有指定需要排除的冲突或禁止记忆。</x:v>
      </x:c>
      <x:c r="AB212" s="39" t="str">
        <x:v>应执行以下操作：检查 Names_Duplicate_Unique.xlsx 的 Names with duplicates 列，把去重后的姓名填入 Unique Names 列，并保留每个姓名第一次出现的原始顺序。</x:v>
      </x:c>
      <x:c r="AC212" s="39" t="str">
        <x:v>第1项实际操作：检查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212" s="39" t="str">
        <x:v>用户的完整请求是：“Names_Duplicate_Unique.xlsx 的名单按之前的去重方法放到 Unique Names，顺序按第一次出现。”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x:v>
      </x:c>
      <x:c r="AE21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212" s="50" t="str">
        <x:v>not_pass</x:v>
      </x:c>
      <x:c r="AG212" s="50" t="n">
        <x:v>0</x:v>
      </x:c>
    </x:row>
    <x:row r="213" ht="189" customHeight="1">
      <x:c r="A213" s="35" t="str">
        <x:v>abed40dc-063f-4598-8ba5-9fe749c0615d_HQ2</x:v>
      </x:c>
      <x:c r="B213" s="36" t="str">
        <x:v>SG_TASK_abed40dc-063f-4598-8ba5-9fe749c0615d</x:v>
      </x:c>
      <x:c r="C213" s="36" t="str">
        <x:v>abed40dc-063f-4598-8ba5-9fe749c0615d</x:v>
      </x:c>
      <x:c r="D213" s="36" t="str">
        <x:v>Names_Duplicate_Unique.xlsx</x:v>
      </x:c>
      <x:c r="E213" s="36" t="str">
        <x:v>single_memory</x:v>
      </x:c>
      <x:c r="F213" s="36" t="str">
        <x:v>human_goal_oriented</x:v>
      </x:c>
      <x:c r="G213" s="36" t="str">
        <x:v>dev</x:v>
      </x:c>
      <x:c r="H213" s="36" t="str">
        <x:v>中等</x:v>
      </x:c>
      <x:c r="I213" s="36" t="str">
        <x:v>abed40dc-063f-4598-8ba5-9fe749c0615d</x:v>
      </x:c>
      <x:c r="J213" s="36" t="str">
        <x:v>CTX_abed40dc-063f-4598-8ba5-9fe749c0615d</x:v>
      </x:c>
      <x:c r="K213" s="36" t="str">
        <x:v>STM_abed40dc-063f-4598-8ba5-9fe749c0615d</x:v>
      </x:c>
      <x:c r="L213" s="36" t="str"/>
      <x:c r="M213" s="36" t="str"/>
      <x:c r="N213" s="36" t="str">
        <x:v>工作流程</x:v>
      </x:c>
      <x:c r="O213" s="36" t="str">
        <x:v>短期</x:v>
      </x:c>
      <x:c r="P213" s="36" t="str">
        <x:v>["libreoffice_calc"]</x:v>
      </x:c>
      <x:c r="Q213" s="36" t="str">
        <x:v>[{"step_id":"S1","app":"libreoffice_calc","action_key":"extract_unique_names_preserving_order","input_artifacts":["Names_Duplicate_Unique.xlsx"],"output_artifacts":["Names_Duplicate_Unique.xlsx"],"depends_on":[]}]</x:v>
      </x:c>
      <x:c r="R213" s="36" t="str">
        <x:v>[]</x:v>
      </x:c>
      <x:c r="S213" s="36" t="str">
        <x:v>extract_unique_names_preserving_order</x:v>
      </x:c>
      <x:c r="T213" s="36" t="str">
        <x:v>Names_Duplicate_Unique.xlsx</x:v>
      </x:c>
      <x:c r="U213" s="36" t="str">
        <x:v>retrieve_and_execute</x:v>
      </x:c>
      <x:c r="V213" s="36" t="str">
        <x:v>[{"point_id":"P1","description":"主要处理方式与预期动作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x:v>
      </x:c>
      <x:c r="W213" s="36" t="str">
        <x:v>1.00</x:v>
      </x:c>
      <x:c r="X213" s="39" t="str">
        <x:v>这列姓名重复很多，帮我提取一份不重复名单，但不要按字母重新排序。</x:v>
      </x:c>
      <x:c r="Y213"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213" s="39" t="str">
        <x:v>不适用：当前题目不存在需要用户进一步选择的候选记忆。</x:v>
      </x:c>
      <x:c r="AA213" s="39" t="str">
        <x:v>不适用：当前题目没有指定需要排除的冲突或禁止记忆。</x:v>
      </x:c>
      <x:c r="AB213" s="39" t="str">
        <x:v>应执行以下操作：检查 Names_Duplicate_Unique.xlsx 的 Names with duplicates 列，把去重后的姓名填入 Unique Names 列，并保留每个姓名第一次出现的原始顺序。</x:v>
      </x:c>
      <x:c r="AC213" s="39" t="str">
        <x:v>第1项实际操作：检查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213" s="39" t="str">
        <x:v>用户的完整请求是：“这列姓名重复很多，帮我提取一份不重复名单，但不要按字母重新排序。”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x:v>
      </x:c>
      <x:c r="AE21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213" s="50" t="str">
        <x:v>not_pass</x:v>
      </x:c>
      <x:c r="AG213" s="50" t="n">
        <x:v>0</x:v>
      </x:c>
    </x:row>
    <x:row r="214" ht="189" customHeight="1">
      <x:c r="A214" s="35" t="str">
        <x:v>abed40dc-063f-4598-8ba5-9fe749c0615d_HQ3</x:v>
      </x:c>
      <x:c r="B214" s="36" t="str">
        <x:v>SG_TASK_abed40dc-063f-4598-8ba5-9fe749c0615d</x:v>
      </x:c>
      <x:c r="C214" s="36" t="str">
        <x:v>abed40dc-063f-4598-8ba5-9fe749c0615d</x:v>
      </x:c>
      <x:c r="D214" s="36" t="str">
        <x:v>Names_Duplicate_Unique.xlsx</x:v>
      </x:c>
      <x:c r="E214" s="36" t="str">
        <x:v>single_memory</x:v>
      </x:c>
      <x:c r="F214" s="36" t="str">
        <x:v>contextual_ellipsis</x:v>
      </x:c>
      <x:c r="G214" s="36" t="str">
        <x:v>dev</x:v>
      </x:c>
      <x:c r="H214" s="36" t="str">
        <x:v>中等</x:v>
      </x:c>
      <x:c r="I214" s="36" t="str">
        <x:v>abed40dc-063f-4598-8ba5-9fe749c0615d</x:v>
      </x:c>
      <x:c r="J214" s="36" t="str">
        <x:v>CTX_abed40dc-063f-4598-8ba5-9fe749c0615d</x:v>
      </x:c>
      <x:c r="K214" s="36" t="str">
        <x:v>STM_abed40dc-063f-4598-8ba5-9fe749c0615d</x:v>
      </x:c>
      <x:c r="L214" s="36" t="str"/>
      <x:c r="M214" s="36" t="str"/>
      <x:c r="N214" s="36" t="str">
        <x:v>工作流程</x:v>
      </x:c>
      <x:c r="O214" s="36" t="str">
        <x:v>短期</x:v>
      </x:c>
      <x:c r="P214" s="36" t="str">
        <x:v>["libreoffice_calc"]</x:v>
      </x:c>
      <x:c r="Q214" s="36" t="str">
        <x:v>[{"step_id":"S1","app":"libreoffice_calc","action_key":"extract_unique_names_preserving_order","input_artifacts":["Names_Duplicate_Unique.xlsx"],"output_artifacts":["Names_Duplicate_Unique.xlsx"],"depends_on":[]}]</x:v>
      </x:c>
      <x:c r="R214" s="36" t="str">
        <x:v>[]</x:v>
      </x:c>
      <x:c r="S214" s="36" t="str">
        <x:v>extract_unique_names_preserving_order</x:v>
      </x:c>
      <x:c r="T214" s="36" t="str">
        <x:v>Names_Duplicate_Unique.xlsx</x:v>
      </x:c>
      <x:c r="U214" s="36" t="str">
        <x:v>retrieve_and_execute</x:v>
      </x:c>
      <x:c r="V214" s="36" t="str">
        <x:v>[{"point_id":"P1","description":"主要处理方式与预期动作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x:v>
      </x:c>
      <x:c r="W214" s="36" t="str">
        <x:v>1.00</x:v>
      </x:c>
      <x:c r="X214" s="39" t="str">
        <x:v>当前文件继续做姓名去重，原列留着核对。</x:v>
      </x:c>
      <x:c r="Y214"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214" s="39" t="str">
        <x:v>不适用：当前题目不存在需要用户进一步选择的候选记忆。</x:v>
      </x:c>
      <x:c r="AA214" s="39" t="str">
        <x:v>不适用：当前题目没有指定需要排除的冲突或禁止记忆。</x:v>
      </x:c>
      <x:c r="AB214" s="39" t="str">
        <x:v>应执行以下操作：检查 Names_Duplicate_Unique.xlsx 的 Names with duplicates 列，把去重后的姓名填入 Unique Names 列，并保留每个姓名第一次出现的原始顺序。</x:v>
      </x:c>
      <x:c r="AC214" s="39" t="str">
        <x:v>第1项实际操作：检查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214" s="39" t="str">
        <x:v>用户的完整请求是：“当前文件继续做姓名去重，原列留着核对。”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x:v>
      </x:c>
      <x:c r="AE21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214" s="50" t="str">
        <x:v>not_pass</x:v>
      </x:c>
      <x:c r="AG214" s="50" t="n">
        <x:v>0</x:v>
      </x:c>
    </x:row>
    <x:row r="215" ht="189" customHeight="1">
      <x:c r="A215" s="35" t="str">
        <x:v>abed40dc-063f-4598-8ba5-9fe749c0615d_HQ4</x:v>
      </x:c>
      <x:c r="B215" s="36" t="str">
        <x:v>SG_TASK_abed40dc-063f-4598-8ba5-9fe749c0615d</x:v>
      </x:c>
      <x:c r="C215" s="36" t="str">
        <x:v>abed40dc-063f-4598-8ba5-9fe749c0615d</x:v>
      </x:c>
      <x:c r="D215" s="36" t="str">
        <x:v>Names_Duplicate_Unique.xlsx</x:v>
      </x:c>
      <x:c r="E215" s="36" t="str">
        <x:v>single_memory</x:v>
      </x:c>
      <x:c r="F215" s="36" t="str">
        <x:v>low_overlap_paraphrase</x:v>
      </x:c>
      <x:c r="G215" s="36" t="str">
        <x:v>dev</x:v>
      </x:c>
      <x:c r="H215" s="36" t="str">
        <x:v>困难</x:v>
      </x:c>
      <x:c r="I215" s="36" t="str">
        <x:v>abed40dc-063f-4598-8ba5-9fe749c0615d</x:v>
      </x:c>
      <x:c r="J215" s="36" t="str">
        <x:v>CTX_abed40dc-063f-4598-8ba5-9fe749c0615d</x:v>
      </x:c>
      <x:c r="K215" s="36" t="str">
        <x:v>STM_abed40dc-063f-4598-8ba5-9fe749c0615d</x:v>
      </x:c>
      <x:c r="L215" s="36" t="str"/>
      <x:c r="M215" s="36" t="str"/>
      <x:c r="N215" s="36" t="str">
        <x:v>工作流程</x:v>
      </x:c>
      <x:c r="O215" s="36" t="str">
        <x:v>短期</x:v>
      </x:c>
      <x:c r="P215" s="36" t="str">
        <x:v>["libreoffice_calc"]</x:v>
      </x:c>
      <x:c r="Q215" s="36" t="str">
        <x:v>[{"step_id":"S1","app":"libreoffice_calc","action_key":"extract_unique_names_preserving_order","input_artifacts":["Names_Duplicate_Unique.xlsx"],"output_artifacts":["Names_Duplicate_Unique.xlsx"],"depends_on":[]}]</x:v>
      </x:c>
      <x:c r="R215" s="36" t="str">
        <x:v>[]</x:v>
      </x:c>
      <x:c r="S215" s="36" t="str">
        <x:v>extract_unique_names_preserving_order</x:v>
      </x:c>
      <x:c r="T215" s="36" t="str">
        <x:v>Names_Duplicate_Unique.xlsx</x:v>
      </x:c>
      <x:c r="U215" s="36" t="str">
        <x:v>retrieve_and_execute</x:v>
      </x:c>
      <x:c r="V215" s="36" t="str">
        <x:v>[{"point_id":"P1","description":"主要处理方式与预期动作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x:v>
      </x:c>
      <x:c r="W215" s="36" t="str">
        <x:v>1.00</x:v>
      </x:c>
      <x:c r="X215" s="39" t="str">
        <x:v>我需要一份保持原来先后关系的唯一人员清单，后面重复出现的名字忽略。</x:v>
      </x:c>
      <x:c r="Y215"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215" s="39" t="str">
        <x:v>不适用：当前题目不存在需要用户进一步选择的候选记忆。</x:v>
      </x:c>
      <x:c r="AA215" s="39" t="str">
        <x:v>不适用：当前题目没有指定需要排除的冲突或禁止记忆。</x:v>
      </x:c>
      <x:c r="AB215" s="39" t="str">
        <x:v>应执行以下操作：检查 Names_Duplicate_Unique.xlsx 的 Names with duplicates 列，把去重后的姓名填入 Unique Names 列，并保留每个姓名第一次出现的原始顺序。</x:v>
      </x:c>
      <x:c r="AC215" s="39" t="str">
        <x:v>第1项实际操作：检查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215" s="39" t="str">
        <x:v>用户的完整请求是：“我需要一份保持原来先后关系的唯一人员清单，后面重复出现的名字忽略。”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x:v>
      </x:c>
      <x:c r="AE21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215" s="50" t="str">
        <x:v>not_pass</x:v>
      </x:c>
      <x:c r="AG215" s="50" t="n">
        <x:v>0</x:v>
      </x:c>
    </x:row>
    <x:row r="216" ht="189" customHeight="1">
      <x:c r="A216" s="35" t="str">
        <x:v>abed40dc-063f-4598-8ba5-9fe749c0615d_HQ5</x:v>
      </x:c>
      <x:c r="B216" s="36" t="str">
        <x:v>SG_TASK_abed40dc-063f-4598-8ba5-9fe749c0615d</x:v>
      </x:c>
      <x:c r="C216" s="36" t="str">
        <x:v>abed40dc-063f-4598-8ba5-9fe749c0615d</x:v>
      </x:c>
      <x:c r="D216" s="36" t="str">
        <x:v>Names_Duplicate_Unique.xlsx</x:v>
      </x:c>
      <x:c r="E216" s="36" t="str">
        <x:v>single_memory</x:v>
      </x:c>
      <x:c r="F216" s="36" t="str">
        <x:v>human_constraint_emphasis</x:v>
      </x:c>
      <x:c r="G216" s="36" t="str">
        <x:v>dev</x:v>
      </x:c>
      <x:c r="H216" s="36" t="str">
        <x:v>困难</x:v>
      </x:c>
      <x:c r="I216" s="36" t="str">
        <x:v>abed40dc-063f-4598-8ba5-9fe749c0615d</x:v>
      </x:c>
      <x:c r="J216" s="36" t="str">
        <x:v>CTX_abed40dc-063f-4598-8ba5-9fe749c0615d</x:v>
      </x:c>
      <x:c r="K216" s="36" t="str">
        <x:v>STM_abed40dc-063f-4598-8ba5-9fe749c0615d</x:v>
      </x:c>
      <x:c r="L216" s="36" t="str"/>
      <x:c r="M216" s="36" t="str"/>
      <x:c r="N216" s="36" t="str">
        <x:v>工作流程</x:v>
      </x:c>
      <x:c r="O216" s="36" t="str">
        <x:v>短期</x:v>
      </x:c>
      <x:c r="P216" s="36" t="str">
        <x:v>["libreoffice_calc"]</x:v>
      </x:c>
      <x:c r="Q216" s="36" t="str">
        <x:v>[{"step_id":"S1","app":"libreoffice_calc","action_key":"extract_unique_names_preserving_order","input_artifacts":["Names_Duplicate_Unique.xlsx"],"output_artifacts":["Names_Duplicate_Unique.xlsx"],"depends_on":[]}]</x:v>
      </x:c>
      <x:c r="R216" s="36" t="str">
        <x:v>[]</x:v>
      </x:c>
      <x:c r="S216" s="36" t="str">
        <x:v>extract_unique_names_preserving_order</x:v>
      </x:c>
      <x:c r="T216" s="36" t="str">
        <x:v>Names_Duplicate_Unique.xlsx</x:v>
      </x:c>
      <x:c r="U216" s="36" t="str">
        <x:v>retrieve_and_execute</x:v>
      </x:c>
      <x:c r="V216" s="36" t="str">
        <x:v>[{"point_id":"P1","description":"主要处理方式与预期动作 extract_unique_names_preserving_order 语义一致","weight":0.4,"evidence_memory_ids":["STM_abed40dc-063f-4598-8ba5-9fe749c0615d"]},{"point_id":"P2","description":"正确定位目标对象 Names_Duplicate_Unique.xlsx","weight":0.2,"evidence_memory_ids":["STM_abed40dc-063f-4598-8ba5-9fe749c0615d"]},{"point_id":"P3","description":"满足关键条件：去除重复姓名；保留首次出现顺序；不修改原始重复列和无关区域","weight":0.3,"evidence_memory_ids":["STM_abed40dc-063f-4598-8ba5-9fe749c0615d"]},{"point_id":"P4","description":"不增加无记忆证据支持的操作","weight":0.1,"evidence_memory_ids":["STM_abed40dc-063f-4598-8ba5-9fe749c0615d"]}]</x:v>
      </x:c>
      <x:c r="W216" s="36" t="str">
        <x:v>1.00</x:v>
      </x:c>
      <x:c r="X216" s="39" t="str">
        <x:v>从 Names with duplicates 提取 Unique Names，只留首次记录，其他区域别动。</x:v>
      </x:c>
      <x:c r="Y216"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216" s="39" t="str">
        <x:v>不适用：当前题目不存在需要用户进一步选择的候选记忆。</x:v>
      </x:c>
      <x:c r="AA216" s="39" t="str">
        <x:v>不适用：当前题目没有指定需要排除的冲突或禁止记忆。</x:v>
      </x:c>
      <x:c r="AB216" s="39" t="str">
        <x:v>应执行以下操作：检查 Names_Duplicate_Unique.xlsx 的 Names with duplicates 列，把去重后的姓名填入 Unique Names 列，并保留每个姓名第一次出现的原始顺序。</x:v>
      </x:c>
      <x:c r="AC216" s="39" t="str">
        <x:v>第1项实际操作：检查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216" s="39" t="str">
        <x:v>用户的完整请求是：“从 Names with duplicates 提取 Unique Names，只留首次记录，其他区域别动。” 第1个当前上下文：Names_Duplicate_Unique.xlsx 已在 LibreOffice Calc 中打开。 当前请求是在已有办公上下文中继续、复用或重新强调既有处理方式。与该请求唯一对应的完整必需记忆如下：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中出现的少量词语临时猜测，也不能加入记忆证据没有支持的额外修改。最终应给出的完整结论是：“应执行以下操作：检查 Names_Duplicate_Unique.xlsx 的 Names with duplicates 列，把去重后的姓名填入 Unique Names 列，并保留每个姓名第一次出现的原始顺序。”</x:v>
      </x:c>
      <x:c r="AE21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第2个得分点（0.20分）：正确定位目标对象 Names_Duplicate_Unique.xlsx。该得分点所依据的完整证据为：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第3个得分点（0.30分）：满足关键条件：去除重复姓名；保留首次出现顺序；不修改原始重复列和无关区域。该得分点所依据的完整证据为：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第4个得分点（0.10分）：不增加无记忆证据支持的操作。该得分点所依据的完整证据为：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216" s="50" t="str">
        <x:v>not_pass</x:v>
      </x:c>
      <x:c r="AG216" s="50" t="n">
        <x:v>0</x:v>
      </x:c>
    </x:row>
    <x:row r="217" ht="175.5" customHeight="1">
      <x:c r="A217" s="35" t="str">
        <x:v>d681960f-7bc3-4286-9913-a8812ba3261a_HQ1</x:v>
      </x:c>
      <x:c r="B217" s="36" t="str">
        <x:v>SG_TASK_d681960f-7bc3-4286-9913-a8812ba3261a</x:v>
      </x:c>
      <x:c r="C217" s="36" t="str">
        <x:v>d681960f-7bc3-4286-9913-a8812ba3261a</x:v>
      </x:c>
      <x:c r="D217" s="36" t="str">
        <x:v>Student_Grades_and_Remarks.xlsx</x:v>
      </x:c>
      <x:c r="E217" s="36" t="str">
        <x:v>single_memory</x:v>
      </x:c>
      <x:c r="F217" s="36" t="str">
        <x:v>human_context_explicit</x:v>
      </x:c>
      <x:c r="G217" s="36" t="str">
        <x:v>test</x:v>
      </x:c>
      <x:c r="H217" s="36" t="str">
        <x:v>简单</x:v>
      </x:c>
      <x:c r="I217" s="36" t="str">
        <x:v>d681960f-7bc3-4286-9913-a8812ba3261a</x:v>
      </x:c>
      <x:c r="J217" s="36" t="str">
        <x:v>CTX_d681960f-7bc3-4286-9913-a8812ba3261a</x:v>
      </x:c>
      <x:c r="K217" s="36" t="str">
        <x:v>MTM_d681960f-7bc3-4286-9913-a8812ba3261a</x:v>
      </x:c>
      <x:c r="L217" s="36" t="str"/>
      <x:c r="M217" s="36" t="str"/>
      <x:c r="N217" s="36" t="str">
        <x:v>知识</x:v>
      </x:c>
      <x:c r="O217" s="36" t="str">
        <x:v>中期</x:v>
      </x:c>
      <x:c r="P217" s="36" t="str">
        <x:v>["libreoffice_calc"]</x:v>
      </x:c>
      <x:c r="Q217" s="36" t="str">
        <x:v>[{"step_id":"S1","app":"libreoffice_calc","action_key":"assign_student_grades_from_scale","input_artifacts":["Student_Grades_and_Remarks.xlsx"],"output_artifacts":["Student_Grades_and_Remarks.xlsx"],"depends_on":[]}]</x:v>
      </x:c>
      <x:c r="R217" s="36" t="str">
        <x:v>[]</x:v>
      </x:c>
      <x:c r="S217" s="36" t="str">
        <x:v>assign_student_grades_from_scale</x:v>
      </x:c>
      <x:c r="T217" s="36" t="str">
        <x:v>Student_Grades_and_Remarks.xlsx</x:v>
      </x:c>
      <x:c r="U217" s="36" t="str">
        <x:v>retrieve_and_execute</x:v>
      </x:c>
      <x:c r="V217" s="36" t="str">
        <x:v>[{"point_id":"P1","description":"主要处理方式与预期动作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x:v>
      </x:c>
      <x:c r="W217" s="36" t="str">
        <x:v>1.00</x:v>
      </x:c>
      <x:c r="X217" s="39" t="str">
        <x:v>Student_Grades_and_Remarks.xlsx 的等级按上方量表规则给每个学生补齐。</x:v>
      </x:c>
      <x:c r="Y217" s="39" t="str">
        <x:v>第1条记忆（中期/知识）：在 Student_Grades_and_Remarks.xlsx 中依据上方的评分尺度表，为下方每位学生计算并填写对应等级。关键约束：严格使用现有 scale table；覆盖所有学生；不修改无关区域。</x:v>
      </x:c>
      <x:c r="Z217" s="39" t="str">
        <x:v>不适用：当前题目不存在需要用户进一步选择的候选记忆。</x:v>
      </x:c>
      <x:c r="AA217" s="39" t="str">
        <x:v>不适用：当前题目没有指定需要排除的冲突或禁止记忆。</x:v>
      </x:c>
      <x:c r="AB217" s="39" t="str">
        <x:v>应执行以下操作：在 Student_Grades_and_Remarks.xlsx 中依据上方的评分尺度表，为下方每位学生计算并填写对应等级。</x:v>
      </x:c>
      <x:c r="AC217" s="39" t="str">
        <x:v>第1项实际操作：在 Student_Grades_and_Remarks.xlsx 中依据上方的评分尺度表，为下方每位学生计算并填写对应等级。执行时必须满足：严格使用现有 scale table；覆盖所有学生；不修改无关区域。</x:v>
      </x:c>
      <x:c r="AD217" s="39" t="str">
        <x:v>用户的完整请求是：“Student_Grades_and_Remarks.xlsx 的等级按上方量表规则给每个学生补齐。”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x:v>
      </x:c>
      <x:c r="AE21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217" s="50" t="str">
        <x:v>not_pass</x:v>
      </x:c>
      <x:c r="AG217" s="50" t="n">
        <x:v>0</x:v>
      </x:c>
    </x:row>
    <x:row r="218" ht="175.5" customHeight="1">
      <x:c r="A218" s="35" t="str">
        <x:v>d681960f-7bc3-4286-9913-a8812ba3261a_HQ2</x:v>
      </x:c>
      <x:c r="B218" s="36" t="str">
        <x:v>SG_TASK_d681960f-7bc3-4286-9913-a8812ba3261a</x:v>
      </x:c>
      <x:c r="C218" s="36" t="str">
        <x:v>d681960f-7bc3-4286-9913-a8812ba3261a</x:v>
      </x:c>
      <x:c r="D218" s="36" t="str">
        <x:v>Student_Grades_and_Remarks.xlsx</x:v>
      </x:c>
      <x:c r="E218" s="36" t="str">
        <x:v>single_memory</x:v>
      </x:c>
      <x:c r="F218" s="36" t="str">
        <x:v>human_goal_oriented</x:v>
      </x:c>
      <x:c r="G218" s="36" t="str">
        <x:v>test</x:v>
      </x:c>
      <x:c r="H218" s="36" t="str">
        <x:v>中等</x:v>
      </x:c>
      <x:c r="I218" s="36" t="str">
        <x:v>d681960f-7bc3-4286-9913-a8812ba3261a</x:v>
      </x:c>
      <x:c r="J218" s="36" t="str">
        <x:v>CTX_d681960f-7bc3-4286-9913-a8812ba3261a</x:v>
      </x:c>
      <x:c r="K218" s="36" t="str">
        <x:v>MTM_d681960f-7bc3-4286-9913-a8812ba3261a</x:v>
      </x:c>
      <x:c r="L218" s="36" t="str"/>
      <x:c r="M218" s="36" t="str"/>
      <x:c r="N218" s="36" t="str">
        <x:v>知识</x:v>
      </x:c>
      <x:c r="O218" s="36" t="str">
        <x:v>中期</x:v>
      </x:c>
      <x:c r="P218" s="36" t="str">
        <x:v>["libreoffice_calc"]</x:v>
      </x:c>
      <x:c r="Q218" s="36" t="str">
        <x:v>[{"step_id":"S1","app":"libreoffice_calc","action_key":"assign_student_grades_from_scale","input_artifacts":["Student_Grades_and_Remarks.xlsx"],"output_artifacts":["Student_Grades_and_Remarks.xlsx"],"depends_on":[]}]</x:v>
      </x:c>
      <x:c r="R218" s="36" t="str">
        <x:v>[]</x:v>
      </x:c>
      <x:c r="S218" s="36" t="str">
        <x:v>assign_student_grades_from_scale</x:v>
      </x:c>
      <x:c r="T218" s="36" t="str">
        <x:v>Student_Grades_and_Remarks.xlsx</x:v>
      </x:c>
      <x:c r="U218" s="36" t="str">
        <x:v>retrieve_and_execute</x:v>
      </x:c>
      <x:c r="V218" s="36" t="str">
        <x:v>[{"point_id":"P1","description":"主要处理方式与预期动作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x:v>
      </x:c>
      <x:c r="W218" s="36" t="str">
        <x:v>1.00</x:v>
      </x:c>
      <x:c r="X218" s="39" t="str">
        <x:v>这份成绩表只有分数没有 grade，麻烦对照前面的区间标准逐人判断。</x:v>
      </x:c>
      <x:c r="Y218" s="39" t="str">
        <x:v>第1条记忆（中期/知识）：在 Student_Grades_and_Remarks.xlsx 中依据上方的评分尺度表，为下方每位学生计算并填写对应等级。关键约束：严格使用现有 scale table；覆盖所有学生；不修改无关区域。</x:v>
      </x:c>
      <x:c r="Z218" s="39" t="str">
        <x:v>不适用：当前题目不存在需要用户进一步选择的候选记忆。</x:v>
      </x:c>
      <x:c r="AA218" s="39" t="str">
        <x:v>不适用：当前题目没有指定需要排除的冲突或禁止记忆。</x:v>
      </x:c>
      <x:c r="AB218" s="39" t="str">
        <x:v>应执行以下操作：在 Student_Grades_and_Remarks.xlsx 中依据上方的评分尺度表，为下方每位学生计算并填写对应等级。</x:v>
      </x:c>
      <x:c r="AC218" s="39" t="str">
        <x:v>第1项实际操作：在 Student_Grades_and_Remarks.xlsx 中依据上方的评分尺度表，为下方每位学生计算并填写对应等级。执行时必须满足：严格使用现有 scale table；覆盖所有学生；不修改无关区域。</x:v>
      </x:c>
      <x:c r="AD218" s="39" t="str">
        <x:v>用户的完整请求是：“这份成绩表只有分数没有 grade，麻烦对照前面的区间标准逐人判断。”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x:v>
      </x:c>
      <x:c r="AE21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218" s="50" t="str">
        <x:v>not_pass</x:v>
      </x:c>
      <x:c r="AG218" s="50" t="n">
        <x:v>0</x:v>
      </x:c>
    </x:row>
    <x:row r="219" ht="175.5" customHeight="1">
      <x:c r="A219" s="35" t="str">
        <x:v>d681960f-7bc3-4286-9913-a8812ba3261a_HQ3</x:v>
      </x:c>
      <x:c r="B219" s="36" t="str">
        <x:v>SG_TASK_d681960f-7bc3-4286-9913-a8812ba3261a</x:v>
      </x:c>
      <x:c r="C219" s="36" t="str">
        <x:v>d681960f-7bc3-4286-9913-a8812ba3261a</x:v>
      </x:c>
      <x:c r="D219" s="36" t="str">
        <x:v>Student_Grades_and_Remarks.xlsx</x:v>
      </x:c>
      <x:c r="E219" s="36" t="str">
        <x:v>single_memory</x:v>
      </x:c>
      <x:c r="F219" s="36" t="str">
        <x:v>contextual_ellipsis</x:v>
      </x:c>
      <x:c r="G219" s="36" t="str">
        <x:v>test</x:v>
      </x:c>
      <x:c r="H219" s="36" t="str">
        <x:v>中等</x:v>
      </x:c>
      <x:c r="I219" s="36" t="str">
        <x:v>d681960f-7bc3-4286-9913-a8812ba3261a</x:v>
      </x:c>
      <x:c r="J219" s="36" t="str">
        <x:v>CTX_d681960f-7bc3-4286-9913-a8812ba3261a</x:v>
      </x:c>
      <x:c r="K219" s="36" t="str">
        <x:v>MTM_d681960f-7bc3-4286-9913-a8812ba3261a</x:v>
      </x:c>
      <x:c r="L219" s="36" t="str"/>
      <x:c r="M219" s="36" t="str"/>
      <x:c r="N219" s="36" t="str">
        <x:v>知识</x:v>
      </x:c>
      <x:c r="O219" s="36" t="str">
        <x:v>中期</x:v>
      </x:c>
      <x:c r="P219" s="36" t="str">
        <x:v>["libreoffice_calc"]</x:v>
      </x:c>
      <x:c r="Q219" s="36" t="str">
        <x:v>[{"step_id":"S1","app":"libreoffice_calc","action_key":"assign_student_grades_from_scale","input_artifacts":["Student_Grades_and_Remarks.xlsx"],"output_artifacts":["Student_Grades_and_Remarks.xlsx"],"depends_on":[]}]</x:v>
      </x:c>
      <x:c r="R219" s="36" t="str">
        <x:v>[]</x:v>
      </x:c>
      <x:c r="S219" s="36" t="str">
        <x:v>assign_student_grades_from_scale</x:v>
      </x:c>
      <x:c r="T219" s="36" t="str">
        <x:v>Student_Grades_and_Remarks.xlsx</x:v>
      </x:c>
      <x:c r="U219" s="36" t="str">
        <x:v>retrieve_and_execute</x:v>
      </x:c>
      <x:c r="V219" s="36" t="str">
        <x:v>[{"point_id":"P1","description":"主要处理方式与预期动作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x:v>
      </x:c>
      <x:c r="W219" s="36" t="str">
        <x:v>1.00</x:v>
      </x:c>
      <x:c r="X219" s="39" t="str">
        <x:v>当前学生表继续做等级映射，量表里的边界要按原规则处理。</x:v>
      </x:c>
      <x:c r="Y219" s="39" t="str">
        <x:v>第1条记忆（中期/知识）：在 Student_Grades_and_Remarks.xlsx 中依据上方的评分尺度表，为下方每位学生计算并填写对应等级。关键约束：严格使用现有 scale table；覆盖所有学生；不修改无关区域。</x:v>
      </x:c>
      <x:c r="Z219" s="39" t="str">
        <x:v>不适用：当前题目不存在需要用户进一步选择的候选记忆。</x:v>
      </x:c>
      <x:c r="AA219" s="39" t="str">
        <x:v>不适用：当前题目没有指定需要排除的冲突或禁止记忆。</x:v>
      </x:c>
      <x:c r="AB219" s="39" t="str">
        <x:v>应执行以下操作：在 Student_Grades_and_Remarks.xlsx 中依据上方的评分尺度表，为下方每位学生计算并填写对应等级。</x:v>
      </x:c>
      <x:c r="AC219" s="39" t="str">
        <x:v>第1项实际操作：在 Student_Grades_and_Remarks.xlsx 中依据上方的评分尺度表，为下方每位学生计算并填写对应等级。执行时必须满足：严格使用现有 scale table；覆盖所有学生；不修改无关区域。</x:v>
      </x:c>
      <x:c r="AD219" s="39" t="str">
        <x:v>用户的完整请求是：“当前学生表继续做等级映射，量表里的边界要按原规则处理。”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x:v>
      </x:c>
      <x:c r="AE21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219" s="50" t="str">
        <x:v>not_pass</x:v>
      </x:c>
      <x:c r="AG219" s="50" t="n">
        <x:v>0</x:v>
      </x:c>
    </x:row>
    <x:row r="220" ht="175.5" customHeight="1">
      <x:c r="A220" s="35" t="str">
        <x:v>d681960f-7bc3-4286-9913-a8812ba3261a_HQ4</x:v>
      </x:c>
      <x:c r="B220" s="36" t="str">
        <x:v>SG_TASK_d681960f-7bc3-4286-9913-a8812ba3261a</x:v>
      </x:c>
      <x:c r="C220" s="36" t="str">
        <x:v>d681960f-7bc3-4286-9913-a8812ba3261a</x:v>
      </x:c>
      <x:c r="D220" s="36" t="str">
        <x:v>Student_Grades_and_Remarks.xlsx</x:v>
      </x:c>
      <x:c r="E220" s="36" t="str">
        <x:v>single_memory</x:v>
      </x:c>
      <x:c r="F220" s="36" t="str">
        <x:v>low_overlap_paraphrase</x:v>
      </x:c>
      <x:c r="G220" s="36" t="str">
        <x:v>test</x:v>
      </x:c>
      <x:c r="H220" s="36" t="str">
        <x:v>困难</x:v>
      </x:c>
      <x:c r="I220" s="36" t="str">
        <x:v>d681960f-7bc3-4286-9913-a8812ba3261a</x:v>
      </x:c>
      <x:c r="J220" s="36" t="str">
        <x:v>CTX_d681960f-7bc3-4286-9913-a8812ba3261a</x:v>
      </x:c>
      <x:c r="K220" s="36" t="str">
        <x:v>MTM_d681960f-7bc3-4286-9913-a8812ba3261a</x:v>
      </x:c>
      <x:c r="L220" s="36" t="str"/>
      <x:c r="M220" s="36" t="str"/>
      <x:c r="N220" s="36" t="str">
        <x:v>知识</x:v>
      </x:c>
      <x:c r="O220" s="36" t="str">
        <x:v>中期</x:v>
      </x:c>
      <x:c r="P220" s="36" t="str">
        <x:v>["libreoffice_calc"]</x:v>
      </x:c>
      <x:c r="Q220" s="36" t="str">
        <x:v>[{"step_id":"S1","app":"libreoffice_calc","action_key":"assign_student_grades_from_scale","input_artifacts":["Student_Grades_and_Remarks.xlsx"],"output_artifacts":["Student_Grades_and_Remarks.xlsx"],"depends_on":[]}]</x:v>
      </x:c>
      <x:c r="R220" s="36" t="str">
        <x:v>[]</x:v>
      </x:c>
      <x:c r="S220" s="36" t="str">
        <x:v>assign_student_grades_from_scale</x:v>
      </x:c>
      <x:c r="T220" s="36" t="str">
        <x:v>Student_Grades_and_Remarks.xlsx</x:v>
      </x:c>
      <x:c r="U220" s="36" t="str">
        <x:v>retrieve_and_execute</x:v>
      </x:c>
      <x:c r="V220" s="36" t="str">
        <x:v>[{"point_id":"P1","description":"主要处理方式与预期动作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x:v>
      </x:c>
      <x:c r="W220" s="36" t="str">
        <x:v>1.00</x:v>
      </x:c>
      <x:c r="X220" s="39" t="str">
        <x:v>为了发成绩单，请把每位学生的数值成绩转换成对应等级，不能凭经验自定区间。</x:v>
      </x:c>
      <x:c r="Y220" s="39" t="str">
        <x:v>第1条记忆（中期/知识）：在 Student_Grades_and_Remarks.xlsx 中依据上方的评分尺度表，为下方每位学生计算并填写对应等级。关键约束：严格使用现有 scale table；覆盖所有学生；不修改无关区域。</x:v>
      </x:c>
      <x:c r="Z220" s="39" t="str">
        <x:v>不适用：当前题目不存在需要用户进一步选择的候选记忆。</x:v>
      </x:c>
      <x:c r="AA220" s="39" t="str">
        <x:v>不适用：当前题目没有指定需要排除的冲突或禁止记忆。</x:v>
      </x:c>
      <x:c r="AB220" s="39" t="str">
        <x:v>应执行以下操作：在 Student_Grades_and_Remarks.xlsx 中依据上方的评分尺度表，为下方每位学生计算并填写对应等级。</x:v>
      </x:c>
      <x:c r="AC220" s="39" t="str">
        <x:v>第1项实际操作：在 Student_Grades_and_Remarks.xlsx 中依据上方的评分尺度表，为下方每位学生计算并填写对应等级。执行时必须满足：严格使用现有 scale table；覆盖所有学生；不修改无关区域。</x:v>
      </x:c>
      <x:c r="AD220" s="39" t="str">
        <x:v>用户的完整请求是：“为了发成绩单，请把每位学生的数值成绩转换成对应等级，不能凭经验自定区间。”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x:v>
      </x:c>
      <x:c r="AE22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220" s="50" t="str">
        <x:v>not_pass</x:v>
      </x:c>
      <x:c r="AG220" s="50" t="n">
        <x:v>0</x:v>
      </x:c>
    </x:row>
    <x:row r="221" ht="175.5" customHeight="1">
      <x:c r="A221" s="35" t="str">
        <x:v>d681960f-7bc3-4286-9913-a8812ba3261a_HQ5</x:v>
      </x:c>
      <x:c r="B221" s="36" t="str">
        <x:v>SG_TASK_d681960f-7bc3-4286-9913-a8812ba3261a</x:v>
      </x:c>
      <x:c r="C221" s="36" t="str">
        <x:v>d681960f-7bc3-4286-9913-a8812ba3261a</x:v>
      </x:c>
      <x:c r="D221" s="36" t="str">
        <x:v>Student_Grades_and_Remarks.xlsx</x:v>
      </x:c>
      <x:c r="E221" s="36" t="str">
        <x:v>single_memory</x:v>
      </x:c>
      <x:c r="F221" s="36" t="str">
        <x:v>human_constraint_emphasis</x:v>
      </x:c>
      <x:c r="G221" s="36" t="str">
        <x:v>test</x:v>
      </x:c>
      <x:c r="H221" s="36" t="str">
        <x:v>困难</x:v>
      </x:c>
      <x:c r="I221" s="36" t="str">
        <x:v>d681960f-7bc3-4286-9913-a8812ba3261a</x:v>
      </x:c>
      <x:c r="J221" s="36" t="str">
        <x:v>CTX_d681960f-7bc3-4286-9913-a8812ba3261a</x:v>
      </x:c>
      <x:c r="K221" s="36" t="str">
        <x:v>MTM_d681960f-7bc3-4286-9913-a8812ba3261a</x:v>
      </x:c>
      <x:c r="L221" s="36" t="str"/>
      <x:c r="M221" s="36" t="str"/>
      <x:c r="N221" s="36" t="str">
        <x:v>知识</x:v>
      </x:c>
      <x:c r="O221" s="36" t="str">
        <x:v>中期</x:v>
      </x:c>
      <x:c r="P221" s="36" t="str">
        <x:v>["libreoffice_calc"]</x:v>
      </x:c>
      <x:c r="Q221" s="36" t="str">
        <x:v>[{"step_id":"S1","app":"libreoffice_calc","action_key":"assign_student_grades_from_scale","input_artifacts":["Student_Grades_and_Remarks.xlsx"],"output_artifacts":["Student_Grades_and_Remarks.xlsx"],"depends_on":[]}]</x:v>
      </x:c>
      <x:c r="R221" s="36" t="str">
        <x:v>[]</x:v>
      </x:c>
      <x:c r="S221" s="36" t="str">
        <x:v>assign_student_grades_from_scale</x:v>
      </x:c>
      <x:c r="T221" s="36" t="str">
        <x:v>Student_Grades_and_Remarks.xlsx</x:v>
      </x:c>
      <x:c r="U221" s="36" t="str">
        <x:v>retrieve_and_execute</x:v>
      </x:c>
      <x:c r="V221" s="36" t="str">
        <x:v>[{"point_id":"P1","description":"主要处理方式与预期动作 assign_student_grades_from_scale 语义一致","weight":0.4,"evidence_memory_ids":["MTM_d681960f-7bc3-4286-9913-a8812ba3261a"]},{"point_id":"P2","description":"正确定位目标对象 Student_Grades_and_Remarks.xlsx","weight":0.2,"evidence_memory_ids":["MTM_d681960f-7bc3-4286-9913-a8812ba3261a"]},{"point_id":"P3","description":"满足关键条件：严格使用现有 scale table；覆盖所有学生；不修改无关区域","weight":0.3,"evidence_memory_ids":["MTM_d681960f-7bc3-4286-9913-a8812ba3261a"]},{"point_id":"P4","description":"不增加无记忆证据支持的操作","weight":0.1,"evidence_memory_ids":["MTM_d681960f-7bc3-4286-9913-a8812ba3261a"]}]</x:v>
      </x:c>
      <x:c r="W221" s="36" t="str">
        <x:v>1.00</x:v>
      </x:c>
      <x:c r="X221" s="39" t="str">
        <x:v>按现有 scale table 填下方所有 grade，别动其他空白区域。</x:v>
      </x:c>
      <x:c r="Y221" s="39" t="str">
        <x:v>第1条记忆（中期/知识）：在 Student_Grades_and_Remarks.xlsx 中依据上方的评分尺度表，为下方每位学生计算并填写对应等级。关键约束：严格使用现有 scale table；覆盖所有学生；不修改无关区域。</x:v>
      </x:c>
      <x:c r="Z221" s="39" t="str">
        <x:v>不适用：当前题目不存在需要用户进一步选择的候选记忆。</x:v>
      </x:c>
      <x:c r="AA221" s="39" t="str">
        <x:v>不适用：当前题目没有指定需要排除的冲突或禁止记忆。</x:v>
      </x:c>
      <x:c r="AB221" s="39" t="str">
        <x:v>应执行以下操作：在 Student_Grades_and_Remarks.xlsx 中依据上方的评分尺度表，为下方每位学生计算并填写对应等级。</x:v>
      </x:c>
      <x:c r="AC221" s="39" t="str">
        <x:v>第1项实际操作：在 Student_Grades_and_Remarks.xlsx 中依据上方的评分尺度表，为下方每位学生计算并填写对应等级。执行时必须满足：严格使用现有 scale table；覆盖所有学生；不修改无关区域。</x:v>
      </x:c>
      <x:c r="AD221" s="39" t="str">
        <x:v>用户的完整请求是：“按现有 scale table 填下方所有 grade，别动其他空白区域。” 第1个当前上下文：Student_Grades_and_Remarks.xlsx 已在 LibreOffice Calc 中打开。 当前请求是在已有办公上下文中继续、复用或重新强调既有处理方式。与该请求唯一对应的完整必需记忆如下：
第1条记忆（中期/知识）：在 Student_Grades_and_Remarks.xlsx 中依据上方的评分尺度表，为下方每位学生计算并填写对应等级。关键约束：严格使用现有 scale table；覆盖所有学生；不修改无关区域。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Student_Grades_and_Remarks.xlsx 中依据上方的评分尺度表，为下方每位学生计算并填写对应等级。”</x:v>
      </x:c>
      <x:c r="AE22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Student_Grades_and_Remarks.xlsx 中依据上方的评分尺度表，为下方每位学生计算并填写对应等级。关键约束：严格使用现有 scale table；覆盖所有学生；不修改无关区域。
第2个得分点（0.20分）：正确定位目标对象 Student_Grades_and_Remarks.xlsx。该得分点所依据的完整证据为：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第3个得分点（0.30分）：满足关键条件：严格使用现有 scale table；覆盖所有学生；不修改无关区域。该得分点所依据的完整证据为：
第1条记忆（中期/知识）：在 Student_Grades_and_Remarks.xlsx 中依据上方的评分尺度表，为下方每位学生计算并填写对应等级。关键约束：严格使用现有 scale table；覆盖所有学生；不修改无关区域。
第4个得分点（0.10分）：不增加无记忆证据支持的操作。该得分点所依据的完整证据为：
第1条记忆（中期/知识）：在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221" s="50" t="str">
        <x:v>not_pass</x:v>
      </x:c>
      <x:c r="AG221" s="50" t="n">
        <x:v>0</x:v>
      </x:c>
    </x:row>
    <x:row r="222" ht="175.5" customHeight="1">
      <x:c r="A222" s="35" t="str">
        <x:v>eb03d19a-b88d-4de4-8a64-ca0ac66f426b_HQ1</x:v>
      </x:c>
      <x:c r="B222" s="36" t="str">
        <x:v>SG_TASK_eb03d19a-b88d-4de4-8a64-ca0ac66f426b</x:v>
      </x:c>
      <x:c r="C222" s="36" t="str">
        <x:v>eb03d19a-b88d-4de4-8a64-ca0ac66f426b</x:v>
      </x:c>
      <x:c r="D222" s="36" t="str">
        <x:v>Students_Class_Subject_Marks.xlsx</x:v>
      </x:c>
      <x:c r="E222" s="36" t="str">
        <x:v>single_memory</x:v>
      </x:c>
      <x:c r="F222" s="36" t="str">
        <x:v>human_context_explicit</x:v>
      </x:c>
      <x:c r="G222" s="36" t="str">
        <x:v>dev</x:v>
      </x:c>
      <x:c r="H222" s="36" t="str">
        <x:v>简单</x:v>
      </x:c>
      <x:c r="I222" s="36" t="str">
        <x:v>eb03d19a-b88d-4de4-8a64-ca0ac66f426b</x:v>
      </x:c>
      <x:c r="J222" s="36" t="str">
        <x:v>CTX_eb03d19a-b88d-4de4-8a64-ca0ac66f426b</x:v>
      </x:c>
      <x:c r="K222" s="36" t="str">
        <x:v>LTM_eb03d19a-b88d-4de4-8a64-ca0ac66f426b</x:v>
      </x:c>
      <x:c r="L222" s="36" t="str"/>
      <x:c r="M222" s="36" t="str"/>
      <x:c r="N222" s="36" t="str">
        <x:v>工作流程</x:v>
      </x:c>
      <x:c r="O222" s="36" t="str">
        <x:v>长期</x:v>
      </x:c>
      <x:c r="P222" s="36" t="str">
        <x:v>["libreoffice_calc"]</x:v>
      </x:c>
      <x:c r="Q222" s="36" t="str">
        <x:v>[{"step_id":"S1","app":"libreoffice_calc","action_key":"transpose_table_to_b8","input_artifacts":["Students_Class_Subject_Marks.xlsx"],"output_artifacts":["Students_Class_Subject_Marks.xlsx"],"depends_on":[]}]</x:v>
      </x:c>
      <x:c r="R222" s="36" t="str">
        <x:v>[]</x:v>
      </x:c>
      <x:c r="S222" s="36" t="str">
        <x:v>transpose_table_to_b8</x:v>
      </x:c>
      <x:c r="T222" s="36" t="str">
        <x:v>Students_Class_Subject_Marks.xlsx</x:v>
      </x:c>
      <x:c r="U222" s="36" t="str">
        <x:v>retrieve_and_execute</x:v>
      </x:c>
      <x:c r="V222" s="36" t="str">
        <x:v>[{"point_id":"P1","description":"主要处理方式与预期动作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x:v>
      </x:c>
      <x:c r="W222" s="36" t="str">
        <x:v>1.00</x:v>
      </x:c>
      <x:c r="X222" s="39" t="str">
        <x:v>Students_Class_Subject_Marks.xlsx 的 B2:F5 按之前的方法转置到 B8 开始的位置。</x:v>
      </x:c>
      <x:c r="Y222" s="39" t="str">
        <x:v>第1条记忆（长期/工作流程）：在 Students_Class_Subject_Marks.xlsx 中转置 B2:F5 表格，并把转置结果粘贴到以 B8 为左上角的区域。关键约束：源范围为 B2:F5；执行矩阵转置；目标左上角必须是 B8。</x:v>
      </x:c>
      <x:c r="Z222" s="39" t="str">
        <x:v>不适用：当前题目不存在需要用户进一步选择的候选记忆。</x:v>
      </x:c>
      <x:c r="AA222" s="39" t="str">
        <x:v>不适用：当前题目没有指定需要排除的冲突或禁止记忆。</x:v>
      </x:c>
      <x:c r="AB222" s="39" t="str">
        <x:v>应执行以下操作：在 Students_Class_Subject_Marks.xlsx 中转置 B2:F5 表格，并把转置结果粘贴到以 B8 为左上角的区域。</x:v>
      </x:c>
      <x:c r="AC222" s="39" t="str">
        <x:v>第1项实际操作：在 Students_Class_Subject_Marks.xlsx 中转置 B2:F5 表格，并把转置结果粘贴到以 B8 为左上角的区域。执行时必须满足：源范围为 B2:F5；执行矩阵转置；目标左上角必须是 B8。</x:v>
      </x:c>
      <x:c r="AD222" s="39" t="str">
        <x:v>用户的完整请求是：“Students_Class_Subject_Marks.xlsx 的 B2:F5 按之前的方法转置到 B8 开始的位置。”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x:v>
      </x:c>
      <x:c r="AE22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222" s="50" t="str">
        <x:v>not_pass</x:v>
      </x:c>
      <x:c r="AG222" s="50" t="n">
        <x:v>0</x:v>
      </x:c>
    </x:row>
    <x:row r="223" ht="175.5" customHeight="1">
      <x:c r="A223" s="35" t="str">
        <x:v>eb03d19a-b88d-4de4-8a64-ca0ac66f426b_HQ2</x:v>
      </x:c>
      <x:c r="B223" s="36" t="str">
        <x:v>SG_TASK_eb03d19a-b88d-4de4-8a64-ca0ac66f426b</x:v>
      </x:c>
      <x:c r="C223" s="36" t="str">
        <x:v>eb03d19a-b88d-4de4-8a64-ca0ac66f426b</x:v>
      </x:c>
      <x:c r="D223" s="36" t="str">
        <x:v>Students_Class_Subject_Marks.xlsx</x:v>
      </x:c>
      <x:c r="E223" s="36" t="str">
        <x:v>single_memory</x:v>
      </x:c>
      <x:c r="F223" s="36" t="str">
        <x:v>human_goal_oriented</x:v>
      </x:c>
      <x:c r="G223" s="36" t="str">
        <x:v>dev</x:v>
      </x:c>
      <x:c r="H223" s="36" t="str">
        <x:v>中等</x:v>
      </x:c>
      <x:c r="I223" s="36" t="str">
        <x:v>eb03d19a-b88d-4de4-8a64-ca0ac66f426b</x:v>
      </x:c>
      <x:c r="J223" s="36" t="str">
        <x:v>CTX_eb03d19a-b88d-4de4-8a64-ca0ac66f426b</x:v>
      </x:c>
      <x:c r="K223" s="36" t="str">
        <x:v>LTM_eb03d19a-b88d-4de4-8a64-ca0ac66f426b</x:v>
      </x:c>
      <x:c r="L223" s="36" t="str"/>
      <x:c r="M223" s="36" t="str"/>
      <x:c r="N223" s="36" t="str">
        <x:v>工作流程</x:v>
      </x:c>
      <x:c r="O223" s="36" t="str">
        <x:v>长期</x:v>
      </x:c>
      <x:c r="P223" s="36" t="str">
        <x:v>["libreoffice_calc"]</x:v>
      </x:c>
      <x:c r="Q223" s="36" t="str">
        <x:v>[{"step_id":"S1","app":"libreoffice_calc","action_key":"transpose_table_to_b8","input_artifacts":["Students_Class_Subject_Marks.xlsx"],"output_artifacts":["Students_Class_Subject_Marks.xlsx"],"depends_on":[]}]</x:v>
      </x:c>
      <x:c r="R223" s="36" t="str">
        <x:v>[]</x:v>
      </x:c>
      <x:c r="S223" s="36" t="str">
        <x:v>transpose_table_to_b8</x:v>
      </x:c>
      <x:c r="T223" s="36" t="str">
        <x:v>Students_Class_Subject_Marks.xlsx</x:v>
      </x:c>
      <x:c r="U223" s="36" t="str">
        <x:v>retrieve_and_execute</x:v>
      </x:c>
      <x:c r="V223" s="36" t="str">
        <x:v>[{"point_id":"P1","description":"主要处理方式与预期动作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x:v>
      </x:c>
      <x:c r="W223" s="36" t="str">
        <x:v>1.00</x:v>
      </x:c>
      <x:c r="X223" s="39" t="str">
        <x:v>这块课程成绩横竖方向反了，帮我交换行列后从 B8 粘贴。</x:v>
      </x:c>
      <x:c r="Y223" s="39" t="str">
        <x:v>第1条记忆（长期/工作流程）：在 Students_Class_Subject_Marks.xlsx 中转置 B2:F5 表格，并把转置结果粘贴到以 B8 为左上角的区域。关键约束：源范围为 B2:F5；执行矩阵转置；目标左上角必须是 B8。</x:v>
      </x:c>
      <x:c r="Z223" s="39" t="str">
        <x:v>不适用：当前题目不存在需要用户进一步选择的候选记忆。</x:v>
      </x:c>
      <x:c r="AA223" s="39" t="str">
        <x:v>不适用：当前题目没有指定需要排除的冲突或禁止记忆。</x:v>
      </x:c>
      <x:c r="AB223" s="39" t="str">
        <x:v>应执行以下操作：在 Students_Class_Subject_Marks.xlsx 中转置 B2:F5 表格，并把转置结果粘贴到以 B8 为左上角的区域。</x:v>
      </x:c>
      <x:c r="AC223" s="39" t="str">
        <x:v>第1项实际操作：在 Students_Class_Subject_Marks.xlsx 中转置 B2:F5 表格，并把转置结果粘贴到以 B8 为左上角的区域。执行时必须满足：源范围为 B2:F5；执行矩阵转置；目标左上角必须是 B8。</x:v>
      </x:c>
      <x:c r="AD223" s="39" t="str">
        <x:v>用户的完整请求是：“这块课程成绩横竖方向反了，帮我交换行列后从 B8 粘贴。”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x:v>
      </x:c>
      <x:c r="AE22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223" s="50" t="str">
        <x:v>not_pass</x:v>
      </x:c>
      <x:c r="AG223" s="50" t="n">
        <x:v>0</x:v>
      </x:c>
    </x:row>
    <x:row r="224" ht="175.5" customHeight="1">
      <x:c r="A224" s="35" t="str">
        <x:v>eb03d19a-b88d-4de4-8a64-ca0ac66f426b_HQ3</x:v>
      </x:c>
      <x:c r="B224" s="36" t="str">
        <x:v>SG_TASK_eb03d19a-b88d-4de4-8a64-ca0ac66f426b</x:v>
      </x:c>
      <x:c r="C224" s="36" t="str">
        <x:v>eb03d19a-b88d-4de4-8a64-ca0ac66f426b</x:v>
      </x:c>
      <x:c r="D224" s="36" t="str">
        <x:v>Students_Class_Subject_Marks.xlsx</x:v>
      </x:c>
      <x:c r="E224" s="36" t="str">
        <x:v>single_memory</x:v>
      </x:c>
      <x:c r="F224" s="36" t="str">
        <x:v>contextual_ellipsis</x:v>
      </x:c>
      <x:c r="G224" s="36" t="str">
        <x:v>dev</x:v>
      </x:c>
      <x:c r="H224" s="36" t="str">
        <x:v>中等</x:v>
      </x:c>
      <x:c r="I224" s="36" t="str">
        <x:v>eb03d19a-b88d-4de4-8a64-ca0ac66f426b</x:v>
      </x:c>
      <x:c r="J224" s="36" t="str">
        <x:v>CTX_eb03d19a-b88d-4de4-8a64-ca0ac66f426b</x:v>
      </x:c>
      <x:c r="K224" s="36" t="str">
        <x:v>LTM_eb03d19a-b88d-4de4-8a64-ca0ac66f426b</x:v>
      </x:c>
      <x:c r="L224" s="36" t="str"/>
      <x:c r="M224" s="36" t="str"/>
      <x:c r="N224" s="36" t="str">
        <x:v>工作流程</x:v>
      </x:c>
      <x:c r="O224" s="36" t="str">
        <x:v>长期</x:v>
      </x:c>
      <x:c r="P224" s="36" t="str">
        <x:v>["libreoffice_calc"]</x:v>
      </x:c>
      <x:c r="Q224" s="36" t="str">
        <x:v>[{"step_id":"S1","app":"libreoffice_calc","action_key":"transpose_table_to_b8","input_artifacts":["Students_Class_Subject_Marks.xlsx"],"output_artifacts":["Students_Class_Subject_Marks.xlsx"],"depends_on":[]}]</x:v>
      </x:c>
      <x:c r="R224" s="36" t="str">
        <x:v>[]</x:v>
      </x:c>
      <x:c r="S224" s="36" t="str">
        <x:v>transpose_table_to_b8</x:v>
      </x:c>
      <x:c r="T224" s="36" t="str">
        <x:v>Students_Class_Subject_Marks.xlsx</x:v>
      </x:c>
      <x:c r="U224" s="36" t="str">
        <x:v>retrieve_and_execute</x:v>
      </x:c>
      <x:c r="V224" s="36" t="str">
        <x:v>[{"point_id":"P1","description":"主要处理方式与预期动作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x:v>
      </x:c>
      <x:c r="W224" s="36" t="str">
        <x:v>1.00</x:v>
      </x:c>
      <x:c r="X224" s="39" t="str">
        <x:v>当前学生成绩表继续做矩阵转置，源表保留。</x:v>
      </x:c>
      <x:c r="Y224" s="39" t="str">
        <x:v>第1条记忆（长期/工作流程）：在 Students_Class_Subject_Marks.xlsx 中转置 B2:F5 表格，并把转置结果粘贴到以 B8 为左上角的区域。关键约束：源范围为 B2:F5；执行矩阵转置；目标左上角必须是 B8。</x:v>
      </x:c>
      <x:c r="Z224" s="39" t="str">
        <x:v>不适用：当前题目不存在需要用户进一步选择的候选记忆。</x:v>
      </x:c>
      <x:c r="AA224" s="39" t="str">
        <x:v>不适用：当前题目没有指定需要排除的冲突或禁止记忆。</x:v>
      </x:c>
      <x:c r="AB224" s="39" t="str">
        <x:v>应执行以下操作：在 Students_Class_Subject_Marks.xlsx 中转置 B2:F5 表格，并把转置结果粘贴到以 B8 为左上角的区域。</x:v>
      </x:c>
      <x:c r="AC224" s="39" t="str">
        <x:v>第1项实际操作：在 Students_Class_Subject_Marks.xlsx 中转置 B2:F5 表格，并把转置结果粘贴到以 B8 为左上角的区域。执行时必须满足：源范围为 B2:F5；执行矩阵转置；目标左上角必须是 B8。</x:v>
      </x:c>
      <x:c r="AD224" s="39" t="str">
        <x:v>用户的完整请求是：“当前学生成绩表继续做矩阵转置，源表保留。”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x:v>
      </x:c>
      <x:c r="AE22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224" s="50" t="str">
        <x:v>not_pass</x:v>
      </x:c>
      <x:c r="AG224" s="50" t="n">
        <x:v>0</x:v>
      </x:c>
    </x:row>
    <x:row r="225" ht="175.5" customHeight="1">
      <x:c r="A225" s="35" t="str">
        <x:v>eb03d19a-b88d-4de4-8a64-ca0ac66f426b_HQ4</x:v>
      </x:c>
      <x:c r="B225" s="36" t="str">
        <x:v>SG_TASK_eb03d19a-b88d-4de4-8a64-ca0ac66f426b</x:v>
      </x:c>
      <x:c r="C225" s="36" t="str">
        <x:v>eb03d19a-b88d-4de4-8a64-ca0ac66f426b</x:v>
      </x:c>
      <x:c r="D225" s="36" t="str">
        <x:v>Students_Class_Subject_Marks.xlsx</x:v>
      </x:c>
      <x:c r="E225" s="36" t="str">
        <x:v>single_memory</x:v>
      </x:c>
      <x:c r="F225" s="36" t="str">
        <x:v>low_overlap_paraphrase</x:v>
      </x:c>
      <x:c r="G225" s="36" t="str">
        <x:v>dev</x:v>
      </x:c>
      <x:c r="H225" s="36" t="str">
        <x:v>困难</x:v>
      </x:c>
      <x:c r="I225" s="36" t="str">
        <x:v>eb03d19a-b88d-4de4-8a64-ca0ac66f426b</x:v>
      </x:c>
      <x:c r="J225" s="36" t="str">
        <x:v>CTX_eb03d19a-b88d-4de4-8a64-ca0ac66f426b</x:v>
      </x:c>
      <x:c r="K225" s="36" t="str">
        <x:v>LTM_eb03d19a-b88d-4de4-8a64-ca0ac66f426b</x:v>
      </x:c>
      <x:c r="L225" s="36" t="str"/>
      <x:c r="M225" s="36" t="str"/>
      <x:c r="N225" s="36" t="str">
        <x:v>工作流程</x:v>
      </x:c>
      <x:c r="O225" s="36" t="str">
        <x:v>长期</x:v>
      </x:c>
      <x:c r="P225" s="36" t="str">
        <x:v>["libreoffice_calc"]</x:v>
      </x:c>
      <x:c r="Q225" s="36" t="str">
        <x:v>[{"step_id":"S1","app":"libreoffice_calc","action_key":"transpose_table_to_b8","input_artifacts":["Students_Class_Subject_Marks.xlsx"],"output_artifacts":["Students_Class_Subject_Marks.xlsx"],"depends_on":[]}]</x:v>
      </x:c>
      <x:c r="R225" s="36" t="str">
        <x:v>[]</x:v>
      </x:c>
      <x:c r="S225" s="36" t="str">
        <x:v>transpose_table_to_b8</x:v>
      </x:c>
      <x:c r="T225" s="36" t="str">
        <x:v>Students_Class_Subject_Marks.xlsx</x:v>
      </x:c>
      <x:c r="U225" s="36" t="str">
        <x:v>retrieve_and_execute</x:v>
      </x:c>
      <x:c r="V225" s="36" t="str">
        <x:v>[{"point_id":"P1","description":"主要处理方式与预期动作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x:v>
      </x:c>
      <x:c r="W225" s="36" t="str">
        <x:v>1.00</x:v>
      </x:c>
      <x:c r="X225" s="39" t="str">
        <x:v>我需要在下面得到同一张表的行列互换版本，起点固定在 B8。</x:v>
      </x:c>
      <x:c r="Y225" s="39" t="str">
        <x:v>第1条记忆（长期/工作流程）：在 Students_Class_Subject_Marks.xlsx 中转置 B2:F5 表格，并把转置结果粘贴到以 B8 为左上角的区域。关键约束：源范围为 B2:F5；执行矩阵转置；目标左上角必须是 B8。</x:v>
      </x:c>
      <x:c r="Z225" s="39" t="str">
        <x:v>不适用：当前题目不存在需要用户进一步选择的候选记忆。</x:v>
      </x:c>
      <x:c r="AA225" s="39" t="str">
        <x:v>不适用：当前题目没有指定需要排除的冲突或禁止记忆。</x:v>
      </x:c>
      <x:c r="AB225" s="39" t="str">
        <x:v>应执行以下操作：在 Students_Class_Subject_Marks.xlsx 中转置 B2:F5 表格，并把转置结果粘贴到以 B8 为左上角的区域。</x:v>
      </x:c>
      <x:c r="AC225" s="39" t="str">
        <x:v>第1项实际操作：在 Students_Class_Subject_Marks.xlsx 中转置 B2:F5 表格，并把转置结果粘贴到以 B8 为左上角的区域。执行时必须满足：源范围为 B2:F5；执行矩阵转置；目标左上角必须是 B8。</x:v>
      </x:c>
      <x:c r="AD225" s="39" t="str">
        <x:v>用户的完整请求是：“我需要在下面得到同一张表的行列互换版本，起点固定在 B8。”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x:v>
      </x:c>
      <x:c r="AE22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225" s="50" t="str">
        <x:v>not_pass</x:v>
      </x:c>
      <x:c r="AG225" s="50" t="n">
        <x:v>0</x:v>
      </x:c>
    </x:row>
    <x:row r="226" ht="175.5" customHeight="1">
      <x:c r="A226" s="35" t="str">
        <x:v>eb03d19a-b88d-4de4-8a64-ca0ac66f426b_HQ5</x:v>
      </x:c>
      <x:c r="B226" s="36" t="str">
        <x:v>SG_TASK_eb03d19a-b88d-4de4-8a64-ca0ac66f426b</x:v>
      </x:c>
      <x:c r="C226" s="36" t="str">
        <x:v>eb03d19a-b88d-4de4-8a64-ca0ac66f426b</x:v>
      </x:c>
      <x:c r="D226" s="36" t="str">
        <x:v>Students_Class_Subject_Marks.xlsx</x:v>
      </x:c>
      <x:c r="E226" s="36" t="str">
        <x:v>single_memory</x:v>
      </x:c>
      <x:c r="F226" s="36" t="str">
        <x:v>human_constraint_emphasis</x:v>
      </x:c>
      <x:c r="G226" s="36" t="str">
        <x:v>dev</x:v>
      </x:c>
      <x:c r="H226" s="36" t="str">
        <x:v>困难</x:v>
      </x:c>
      <x:c r="I226" s="36" t="str">
        <x:v>eb03d19a-b88d-4de4-8a64-ca0ac66f426b</x:v>
      </x:c>
      <x:c r="J226" s="36" t="str">
        <x:v>CTX_eb03d19a-b88d-4de4-8a64-ca0ac66f426b</x:v>
      </x:c>
      <x:c r="K226" s="36" t="str">
        <x:v>LTM_eb03d19a-b88d-4de4-8a64-ca0ac66f426b</x:v>
      </x:c>
      <x:c r="L226" s="36" t="str"/>
      <x:c r="M226" s="36" t="str"/>
      <x:c r="N226" s="36" t="str">
        <x:v>工作流程</x:v>
      </x:c>
      <x:c r="O226" s="36" t="str">
        <x:v>长期</x:v>
      </x:c>
      <x:c r="P226" s="36" t="str">
        <x:v>["libreoffice_calc"]</x:v>
      </x:c>
      <x:c r="Q226" s="36" t="str">
        <x:v>[{"step_id":"S1","app":"libreoffice_calc","action_key":"transpose_table_to_b8","input_artifacts":["Students_Class_Subject_Marks.xlsx"],"output_artifacts":["Students_Class_Subject_Marks.xlsx"],"depends_on":[]}]</x:v>
      </x:c>
      <x:c r="R226" s="36" t="str">
        <x:v>[]</x:v>
      </x:c>
      <x:c r="S226" s="36" t="str">
        <x:v>transpose_table_to_b8</x:v>
      </x:c>
      <x:c r="T226" s="36" t="str">
        <x:v>Students_Class_Subject_Marks.xlsx</x:v>
      </x:c>
      <x:c r="U226" s="36" t="str">
        <x:v>retrieve_and_execute</x:v>
      </x:c>
      <x:c r="V226" s="36" t="str">
        <x:v>[{"point_id":"P1","description":"主要处理方式与预期动作 transpose_table_to_b8 语义一致","weight":0.4,"evidence_memory_ids":["LTM_eb03d19a-b88d-4de4-8a64-ca0ac66f426b"]},{"point_id":"P2","description":"正确定位目标对象 Students_Class_Subject_Marks.xlsx","weight":0.2,"evidence_memory_ids":["LTM_eb03d19a-b88d-4de4-8a64-ca0ac66f426b"]},{"point_id":"P3","description":"满足关键条件：源范围为 B2:F5；执行矩阵转置；目标左上角必须是 B8","weight":0.3,"evidence_memory_ids":["LTM_eb03d19a-b88d-4de4-8a64-ca0ac66f426b"]},{"point_id":"P4","description":"不增加无记忆证据支持的操作","weight":0.1,"evidence_memory_ids":["LTM_eb03d19a-b88d-4de4-8a64-ca0ac66f426b"]}]</x:v>
      </x:c>
      <x:c r="W226" s="36" t="str">
        <x:v>1.00</x:v>
      </x:c>
      <x:c r="X226" s="39" t="str">
        <x:v>转置 B2:F5，结果左上角落在 B8，范围和位置都不要偏。</x:v>
      </x:c>
      <x:c r="Y226" s="39" t="str">
        <x:v>第1条记忆（长期/工作流程）：在 Students_Class_Subject_Marks.xlsx 中转置 B2:F5 表格，并把转置结果粘贴到以 B8 为左上角的区域。关键约束：源范围为 B2:F5；执行矩阵转置；目标左上角必须是 B8。</x:v>
      </x:c>
      <x:c r="Z226" s="39" t="str">
        <x:v>不适用：当前题目不存在需要用户进一步选择的候选记忆。</x:v>
      </x:c>
      <x:c r="AA226" s="39" t="str">
        <x:v>不适用：当前题目没有指定需要排除的冲突或禁止记忆。</x:v>
      </x:c>
      <x:c r="AB226" s="39" t="str">
        <x:v>应执行以下操作：在 Students_Class_Subject_Marks.xlsx 中转置 B2:F5 表格，并把转置结果粘贴到以 B8 为左上角的区域。</x:v>
      </x:c>
      <x:c r="AC226" s="39" t="str">
        <x:v>第1项实际操作：在 Students_Class_Subject_Marks.xlsx 中转置 B2:F5 表格，并把转置结果粘贴到以 B8 为左上角的区域。执行时必须满足：源范围为 B2:F5；执行矩阵转置；目标左上角必须是 B8。</x:v>
      </x:c>
      <x:c r="AD226" s="39" t="str">
        <x:v>用户的完整请求是：“转置 B2:F5，结果左上角落在 B8，范围和位置都不要偏。” 第1个当前上下文：Students_Class_Subject_Marks.xlsx 已在 LibreOffice Calc 中打开。 当前请求是在已有办公上下文中继续、复用或重新强调既有处理方式。与该请求唯一对应的完整必需记忆如下：
第1条记忆（长期/工作流程）：在 Students_Class_Subject_Marks.xlsx 中转置 B2:F5 表格，并把转置结果粘贴到以 B8 为左上角的区域。关键约束：源范围为 B2:F5；执行矩阵转置；目标左上角必须是 B8。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Students_Class_Subject_Marks.xlsx 中转置 B2:F5 表格，并把转置结果粘贴到以 B8 为左上角的区域。”</x:v>
      </x:c>
      <x:c r="AE22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第2个得分点（0.20分）：正确定位目标对象 Students_Class_Subject_Marks.xlsx。该得分点所依据的完整证据为：
第1条记忆（长期/工作流程）：在 Students_Class_Subject_Marks.xlsx 中转置 B2:F5 表格，并把转置结果粘贴到以 B8 为左上角的区域。关键约束：源范围为 B2:F5；执行矩阵转置；目标左上角必须是 B8。
第3个得分点（0.30分）：满足关键条件：源范围为 B2:F5；执行矩阵转置；目标左上角必须是 B8。该得分点所依据的完整证据为：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第4个得分点（0.10分）：不增加无记忆证据支持的操作。该得分点所依据的完整证据为：
第1条记忆（长期/工作流程）：在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226" s="50" t="str">
        <x:v>not_pass</x:v>
      </x:c>
      <x:c r="AG226" s="50" t="n">
        <x:v>0</x:v>
      </x:c>
    </x:row>
    <x:row r="227" ht="189" customHeight="1">
      <x:c r="A227" s="35" t="str">
        <x:v>ecb0df7a-4e8d-4a03-b162-053391d3afaf_HQ1</x:v>
      </x:c>
      <x:c r="B227" s="36" t="str">
        <x:v>SG_TASK_ecb0df7a-4e8d-4a03-b162-053391d3afaf</x:v>
      </x:c>
      <x:c r="C227" s="36" t="str">
        <x:v>ecb0df7a-4e8d-4a03-b162-053391d3afaf</x:v>
      </x:c>
      <x:c r="D227" s="36" t="str">
        <x:v>Order_Id_Mark_Pass_Fail.xlsx</x:v>
      </x:c>
      <x:c r="E227" s="36" t="str">
        <x:v>single_memory</x:v>
      </x:c>
      <x:c r="F227" s="36" t="str">
        <x:v>human_context_explicit</x:v>
      </x:c>
      <x:c r="G227" s="36" t="str">
        <x:v>train</x:v>
      </x:c>
      <x:c r="H227" s="36" t="str">
        <x:v>简单</x:v>
      </x:c>
      <x:c r="I227" s="36" t="str">
        <x:v>ecb0df7a-4e8d-4a03-b162-053391d3afaf</x:v>
      </x:c>
      <x:c r="J227" s="36" t="str">
        <x:v>CTX_ecb0df7a-4e8d-4a03-b162-053391d3afaf</x:v>
      </x:c>
      <x:c r="K227" s="36" t="str">
        <x:v>STM_ecb0df7a-4e8d-4a03-b162-053391d3afaf</x:v>
      </x:c>
      <x:c r="L227" s="36" t="str"/>
      <x:c r="M227" s="36" t="str"/>
      <x:c r="N227" s="36" t="str">
        <x:v>工作流程</x:v>
      </x:c>
      <x:c r="O227" s="36" t="str">
        <x:v>短期</x:v>
      </x:c>
      <x:c r="P227" s="36" t="str">
        <x:v>["libreoffice_calc"]</x:v>
      </x:c>
      <x:c r="Q227" s="36" t="str">
        <x:v>[{"step_id":"S1","app":"libreoffice_calc","action_key":"add_pass_fail_held_validation","input_artifacts":["Order_Id_Mark_Pass_Fail.xlsx"],"output_artifacts":["Order_Id_Mark_Pass_Fail.xlsx"],"depends_on":[]}]</x:v>
      </x:c>
      <x:c r="R227" s="36" t="str">
        <x:v>[]</x:v>
      </x:c>
      <x:c r="S227" s="36" t="str">
        <x:v>add_pass_fail_held_validation</x:v>
      </x:c>
      <x:c r="T227" s="36" t="str">
        <x:v>Order_Id_Mark_Pass_Fail.xlsx</x:v>
      </x:c>
      <x:c r="U227" s="36" t="str">
        <x:v>retrieve_and_execute</x:v>
      </x:c>
      <x:c r="V227" s="36" t="str">
        <x:v>[{"point_id":"P1","description":"主要处理方式与预期动作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x:v>
      </x:c>
      <x:c r="W227" s="36" t="str">
        <x:v>1.00</x:v>
      </x:c>
      <x:c r="X227" s="39" t="str">
        <x:v>Order_Id_Mark_Pass_Fail.xlsx 的状态列按之前的下拉模板设置成三个固定选项。</x:v>
      </x:c>
      <x:c r="Y227" s="39" t="str">
        <x:v>第1条记忆（短期/工作流程）：在 Order_Id_Mark_Pass_Fail.xlsx 的 Pass/Fail/Held 列应用数据验证，为每个目标单元格提供 Pass、Fail、Held 三个可选值的下拉列表。关键约束：下拉选项只能是 Pass、Fail、Held；作用于目标列；不修改无关区域。</x:v>
      </x:c>
      <x:c r="Z227" s="39" t="str">
        <x:v>不适用：当前题目不存在需要用户进一步选择的候选记忆。</x:v>
      </x:c>
      <x:c r="AA227" s="39" t="str">
        <x:v>不适用：当前题目没有指定需要排除的冲突或禁止记忆。</x:v>
      </x:c>
      <x:c r="AB227" s="39" t="str">
        <x:v>应执行以下操作：在 Order_Id_Mark_Pass_Fail.xlsx 的 Pass/Fail/Held 列应用数据验证，为每个目标单元格提供 Pass、Fail、Held 三个可选值的下拉列表。</x:v>
      </x:c>
      <x:c r="AC227" s="39" t="str">
        <x:v>第1项实际操作：在 Order_Id_Mark_Pass_Fail.xlsx 的 Pass/Fail/Held 列应用数据验证，为每个目标单元格提供 Pass、Fail、Held 三个可选值的下拉列表。执行时必须满足：下拉选项只能是 Pass、Fail、Held；作用于目标列；不修改无关区域。</x:v>
      </x:c>
      <x:c r="AD227" s="39" t="str">
        <x:v>用户的完整请求是：“Order_Id_Mark_Pass_Fail.xlsx 的状态列按之前的下拉模板设置成三个固定选项。”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x:v>
      </x:c>
      <x:c r="AE227"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27" s="50" t="str">
        <x:v>not_pass</x:v>
      </x:c>
      <x:c r="AG227" s="50" t="n">
        <x:v>0</x:v>
      </x:c>
    </x:row>
    <x:row r="228" ht="189" customHeight="1">
      <x:c r="A228" s="35" t="str">
        <x:v>ecb0df7a-4e8d-4a03-b162-053391d3afaf_HQ2</x:v>
      </x:c>
      <x:c r="B228" s="36" t="str">
        <x:v>SG_TASK_ecb0df7a-4e8d-4a03-b162-053391d3afaf</x:v>
      </x:c>
      <x:c r="C228" s="36" t="str">
        <x:v>ecb0df7a-4e8d-4a03-b162-053391d3afaf</x:v>
      </x:c>
      <x:c r="D228" s="36" t="str">
        <x:v>Order_Id_Mark_Pass_Fail.xlsx</x:v>
      </x:c>
      <x:c r="E228" s="36" t="str">
        <x:v>single_memory</x:v>
      </x:c>
      <x:c r="F228" s="36" t="str">
        <x:v>human_goal_oriented</x:v>
      </x:c>
      <x:c r="G228" s="36" t="str">
        <x:v>train</x:v>
      </x:c>
      <x:c r="H228" s="36" t="str">
        <x:v>中等</x:v>
      </x:c>
      <x:c r="I228" s="36" t="str">
        <x:v>ecb0df7a-4e8d-4a03-b162-053391d3afaf</x:v>
      </x:c>
      <x:c r="J228" s="36" t="str">
        <x:v>CTX_ecb0df7a-4e8d-4a03-b162-053391d3afaf</x:v>
      </x:c>
      <x:c r="K228" s="36" t="str">
        <x:v>STM_ecb0df7a-4e8d-4a03-b162-053391d3afaf</x:v>
      </x:c>
      <x:c r="L228" s="36" t="str"/>
      <x:c r="M228" s="36" t="str"/>
      <x:c r="N228" s="36" t="str">
        <x:v>工作流程</x:v>
      </x:c>
      <x:c r="O228" s="36" t="str">
        <x:v>短期</x:v>
      </x:c>
      <x:c r="P228" s="36" t="str">
        <x:v>["libreoffice_calc"]</x:v>
      </x:c>
      <x:c r="Q228" s="36" t="str">
        <x:v>[{"step_id":"S1","app":"libreoffice_calc","action_key":"add_pass_fail_held_validation","input_artifacts":["Order_Id_Mark_Pass_Fail.xlsx"],"output_artifacts":["Order_Id_Mark_Pass_Fail.xlsx"],"depends_on":[]}]</x:v>
      </x:c>
      <x:c r="R228" s="36" t="str">
        <x:v>[]</x:v>
      </x:c>
      <x:c r="S228" s="36" t="str">
        <x:v>add_pass_fail_held_validation</x:v>
      </x:c>
      <x:c r="T228" s="36" t="str">
        <x:v>Order_Id_Mark_Pass_Fail.xlsx</x:v>
      </x:c>
      <x:c r="U228" s="36" t="str">
        <x:v>retrieve_and_execute</x:v>
      </x:c>
      <x:c r="V228" s="36" t="str">
        <x:v>[{"point_id":"P1","description":"主要处理方式与预期动作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x:v>
      </x:c>
      <x:c r="W228" s="36" t="str">
        <x:v>1.00</x:v>
      </x:c>
      <x:c r="X228" s="39" t="str">
        <x:v>我不想手输审核结果，帮我让 Pass/Fail/Held 列可以直接选择 Pass、Fail 或 Held。</x:v>
      </x:c>
      <x:c r="Y228" s="39" t="str">
        <x:v>第1条记忆（短期/工作流程）：在 Order_Id_Mark_Pass_Fail.xlsx 的 Pass/Fail/Held 列应用数据验证，为每个目标单元格提供 Pass、Fail、Held 三个可选值的下拉列表。关键约束：下拉选项只能是 Pass、Fail、Held；作用于目标列；不修改无关区域。</x:v>
      </x:c>
      <x:c r="Z228" s="39" t="str">
        <x:v>不适用：当前题目不存在需要用户进一步选择的候选记忆。</x:v>
      </x:c>
      <x:c r="AA228" s="39" t="str">
        <x:v>不适用：当前题目没有指定需要排除的冲突或禁止记忆。</x:v>
      </x:c>
      <x:c r="AB228" s="39" t="str">
        <x:v>应执行以下操作：在 Order_Id_Mark_Pass_Fail.xlsx 的 Pass/Fail/Held 列应用数据验证，为每个目标单元格提供 Pass、Fail、Held 三个可选值的下拉列表。</x:v>
      </x:c>
      <x:c r="AC228" s="39" t="str">
        <x:v>第1项实际操作：在 Order_Id_Mark_Pass_Fail.xlsx 的 Pass/Fail/Held 列应用数据验证，为每个目标单元格提供 Pass、Fail、Held 三个可选值的下拉列表。执行时必须满足：下拉选项只能是 Pass、Fail、Held；作用于目标列；不修改无关区域。</x:v>
      </x:c>
      <x:c r="AD228" s="39" t="str">
        <x:v>用户的完整请求是：“我不想手输审核结果，帮我让 Pass/Fail/Held 列可以直接选择 Pass、Fail 或 Held。”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x:v>
      </x:c>
      <x:c r="AE228"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28" s="50" t="str">
        <x:v>not_pass</x:v>
      </x:c>
      <x:c r="AG228" s="50" t="n">
        <x:v>0</x:v>
      </x:c>
    </x:row>
    <x:row r="229" ht="189" customHeight="1">
      <x:c r="A229" s="35" t="str">
        <x:v>ecb0df7a-4e8d-4a03-b162-053391d3afaf_HQ3</x:v>
      </x:c>
      <x:c r="B229" s="36" t="str">
        <x:v>SG_TASK_ecb0df7a-4e8d-4a03-b162-053391d3afaf</x:v>
      </x:c>
      <x:c r="C229" s="36" t="str">
        <x:v>ecb0df7a-4e8d-4a03-b162-053391d3afaf</x:v>
      </x:c>
      <x:c r="D229" s="36" t="str">
        <x:v>Order_Id_Mark_Pass_Fail.xlsx</x:v>
      </x:c>
      <x:c r="E229" s="36" t="str">
        <x:v>single_memory</x:v>
      </x:c>
      <x:c r="F229" s="36" t="str">
        <x:v>contextual_ellipsis</x:v>
      </x:c>
      <x:c r="G229" s="36" t="str">
        <x:v>train</x:v>
      </x:c>
      <x:c r="H229" s="36" t="str">
        <x:v>中等</x:v>
      </x:c>
      <x:c r="I229" s="36" t="str">
        <x:v>ecb0df7a-4e8d-4a03-b162-053391d3afaf</x:v>
      </x:c>
      <x:c r="J229" s="36" t="str">
        <x:v>CTX_ecb0df7a-4e8d-4a03-b162-053391d3afaf</x:v>
      </x:c>
      <x:c r="K229" s="36" t="str">
        <x:v>STM_ecb0df7a-4e8d-4a03-b162-053391d3afaf</x:v>
      </x:c>
      <x:c r="L229" s="36" t="str"/>
      <x:c r="M229" s="36" t="str"/>
      <x:c r="N229" s="36" t="str">
        <x:v>工作流程</x:v>
      </x:c>
      <x:c r="O229" s="36" t="str">
        <x:v>短期</x:v>
      </x:c>
      <x:c r="P229" s="36" t="str">
        <x:v>["libreoffice_calc"]</x:v>
      </x:c>
      <x:c r="Q229" s="36" t="str">
        <x:v>[{"step_id":"S1","app":"libreoffice_calc","action_key":"add_pass_fail_held_validation","input_artifacts":["Order_Id_Mark_Pass_Fail.xlsx"],"output_artifacts":["Order_Id_Mark_Pass_Fail.xlsx"],"depends_on":[]}]</x:v>
      </x:c>
      <x:c r="R229" s="36" t="str">
        <x:v>[]</x:v>
      </x:c>
      <x:c r="S229" s="36" t="str">
        <x:v>add_pass_fail_held_validation</x:v>
      </x:c>
      <x:c r="T229" s="36" t="str">
        <x:v>Order_Id_Mark_Pass_Fail.xlsx</x:v>
      </x:c>
      <x:c r="U229" s="36" t="str">
        <x:v>retrieve_and_execute</x:v>
      </x:c>
      <x:c r="V229" s="36" t="str">
        <x:v>[{"point_id":"P1","description":"主要处理方式与预期动作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x:v>
      </x:c>
      <x:c r="W229" s="36" t="str">
        <x:v>1.00</x:v>
      </x:c>
      <x:c r="X229" s="39" t="str">
        <x:v>当前订单表继续加数据验证，整列都用同一组选项。</x:v>
      </x:c>
      <x:c r="Y229" s="39" t="str">
        <x:v>第1条记忆（短期/工作流程）：在 Order_Id_Mark_Pass_Fail.xlsx 的 Pass/Fail/Held 列应用数据验证，为每个目标单元格提供 Pass、Fail、Held 三个可选值的下拉列表。关键约束：下拉选项只能是 Pass、Fail、Held；作用于目标列；不修改无关区域。</x:v>
      </x:c>
      <x:c r="Z229" s="39" t="str">
        <x:v>不适用：当前题目不存在需要用户进一步选择的候选记忆。</x:v>
      </x:c>
      <x:c r="AA229" s="39" t="str">
        <x:v>不适用：当前题目没有指定需要排除的冲突或禁止记忆。</x:v>
      </x:c>
      <x:c r="AB229" s="39" t="str">
        <x:v>应执行以下操作：在 Order_Id_Mark_Pass_Fail.xlsx 的 Pass/Fail/Held 列应用数据验证，为每个目标单元格提供 Pass、Fail、Held 三个可选值的下拉列表。</x:v>
      </x:c>
      <x:c r="AC229" s="39" t="str">
        <x:v>第1项实际操作：在 Order_Id_Mark_Pass_Fail.xlsx 的 Pass/Fail/Held 列应用数据验证，为每个目标单元格提供 Pass、Fail、Held 三个可选值的下拉列表。执行时必须满足：下拉选项只能是 Pass、Fail、Held；作用于目标列；不修改无关区域。</x:v>
      </x:c>
      <x:c r="AD229" s="39" t="str">
        <x:v>用户的完整请求是：“当前订单表继续加数据验证，整列都用同一组选项。”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x:v>
      </x:c>
      <x:c r="AE229"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29" s="50" t="str">
        <x:v>not_pass</x:v>
      </x:c>
      <x:c r="AG229" s="50" t="n">
        <x:v>0</x:v>
      </x:c>
    </x:row>
    <x:row r="230" ht="189" customHeight="1">
      <x:c r="A230" s="35" t="str">
        <x:v>ecb0df7a-4e8d-4a03-b162-053391d3afaf_HQ4</x:v>
      </x:c>
      <x:c r="B230" s="36" t="str">
        <x:v>SG_TASK_ecb0df7a-4e8d-4a03-b162-053391d3afaf</x:v>
      </x:c>
      <x:c r="C230" s="36" t="str">
        <x:v>ecb0df7a-4e8d-4a03-b162-053391d3afaf</x:v>
      </x:c>
      <x:c r="D230" s="36" t="str">
        <x:v>Order_Id_Mark_Pass_Fail.xlsx</x:v>
      </x:c>
      <x:c r="E230" s="36" t="str">
        <x:v>single_memory</x:v>
      </x:c>
      <x:c r="F230" s="36" t="str">
        <x:v>low_overlap_paraphrase</x:v>
      </x:c>
      <x:c r="G230" s="36" t="str">
        <x:v>train</x:v>
      </x:c>
      <x:c r="H230" s="36" t="str">
        <x:v>困难</x:v>
      </x:c>
      <x:c r="I230" s="36" t="str">
        <x:v>ecb0df7a-4e8d-4a03-b162-053391d3afaf</x:v>
      </x:c>
      <x:c r="J230" s="36" t="str">
        <x:v>CTX_ecb0df7a-4e8d-4a03-b162-053391d3afaf</x:v>
      </x:c>
      <x:c r="K230" s="36" t="str">
        <x:v>STM_ecb0df7a-4e8d-4a03-b162-053391d3afaf</x:v>
      </x:c>
      <x:c r="L230" s="36" t="str"/>
      <x:c r="M230" s="36" t="str"/>
      <x:c r="N230" s="36" t="str">
        <x:v>工作流程</x:v>
      </x:c>
      <x:c r="O230" s="36" t="str">
        <x:v>短期</x:v>
      </x:c>
      <x:c r="P230" s="36" t="str">
        <x:v>["libreoffice_calc"]</x:v>
      </x:c>
      <x:c r="Q230" s="36" t="str">
        <x:v>[{"step_id":"S1","app":"libreoffice_calc","action_key":"add_pass_fail_held_validation","input_artifacts":["Order_Id_Mark_Pass_Fail.xlsx"],"output_artifacts":["Order_Id_Mark_Pass_Fail.xlsx"],"depends_on":[]}]</x:v>
      </x:c>
      <x:c r="R230" s="36" t="str">
        <x:v>[]</x:v>
      </x:c>
      <x:c r="S230" s="36" t="str">
        <x:v>add_pass_fail_held_validation</x:v>
      </x:c>
      <x:c r="T230" s="36" t="str">
        <x:v>Order_Id_Mark_Pass_Fail.xlsx</x:v>
      </x:c>
      <x:c r="U230" s="36" t="str">
        <x:v>retrieve_and_execute</x:v>
      </x:c>
      <x:c r="V230" s="36" t="str">
        <x:v>[{"point_id":"P1","description":"主要处理方式与预期动作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x:v>
      </x:c>
      <x:c r="W230" s="36" t="str">
        <x:v>1.00</x:v>
      </x:c>
      <x:c r="X230" s="39" t="str">
        <x:v>为了避免状态拼写不一致，请把这三个结果做成受控下拉列表。</x:v>
      </x:c>
      <x:c r="Y230" s="39" t="str">
        <x:v>第1条记忆（短期/工作流程）：在 Order_Id_Mark_Pass_Fail.xlsx 的 Pass/Fail/Held 列应用数据验证，为每个目标单元格提供 Pass、Fail、Held 三个可选值的下拉列表。关键约束：下拉选项只能是 Pass、Fail、Held；作用于目标列；不修改无关区域。</x:v>
      </x:c>
      <x:c r="Z230" s="39" t="str">
        <x:v>不适用：当前题目不存在需要用户进一步选择的候选记忆。</x:v>
      </x:c>
      <x:c r="AA230" s="39" t="str">
        <x:v>不适用：当前题目没有指定需要排除的冲突或禁止记忆。</x:v>
      </x:c>
      <x:c r="AB230" s="39" t="str">
        <x:v>应执行以下操作：在 Order_Id_Mark_Pass_Fail.xlsx 的 Pass/Fail/Held 列应用数据验证，为每个目标单元格提供 Pass、Fail、Held 三个可选值的下拉列表。</x:v>
      </x:c>
      <x:c r="AC230" s="39" t="str">
        <x:v>第1项实际操作：在 Order_Id_Mark_Pass_Fail.xlsx 的 Pass/Fail/Held 列应用数据验证，为每个目标单元格提供 Pass、Fail、Held 三个可选值的下拉列表。执行时必须满足：下拉选项只能是 Pass、Fail、Held；作用于目标列；不修改无关区域。</x:v>
      </x:c>
      <x:c r="AD230" s="39" t="str">
        <x:v>用户的完整请求是：“为了避免状态拼写不一致，请把这三个结果做成受控下拉列表。”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x:v>
      </x:c>
      <x:c r="AE230"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30" s="50" t="str">
        <x:v>not_pass</x:v>
      </x:c>
      <x:c r="AG230" s="50" t="n">
        <x:v>0</x:v>
      </x:c>
    </x:row>
    <x:row r="231" ht="189" customHeight="1">
      <x:c r="A231" s="35" t="str">
        <x:v>ecb0df7a-4e8d-4a03-b162-053391d3afaf_HQ5</x:v>
      </x:c>
      <x:c r="B231" s="36" t="str">
        <x:v>SG_TASK_ecb0df7a-4e8d-4a03-b162-053391d3afaf</x:v>
      </x:c>
      <x:c r="C231" s="36" t="str">
        <x:v>ecb0df7a-4e8d-4a03-b162-053391d3afaf</x:v>
      </x:c>
      <x:c r="D231" s="36" t="str">
        <x:v>Order_Id_Mark_Pass_Fail.xlsx</x:v>
      </x:c>
      <x:c r="E231" s="36" t="str">
        <x:v>single_memory</x:v>
      </x:c>
      <x:c r="F231" s="36" t="str">
        <x:v>human_constraint_emphasis</x:v>
      </x:c>
      <x:c r="G231" s="36" t="str">
        <x:v>train</x:v>
      </x:c>
      <x:c r="H231" s="36" t="str">
        <x:v>困难</x:v>
      </x:c>
      <x:c r="I231" s="36" t="str">
        <x:v>ecb0df7a-4e8d-4a03-b162-053391d3afaf</x:v>
      </x:c>
      <x:c r="J231" s="36" t="str">
        <x:v>CTX_ecb0df7a-4e8d-4a03-b162-053391d3afaf</x:v>
      </x:c>
      <x:c r="K231" s="36" t="str">
        <x:v>STM_ecb0df7a-4e8d-4a03-b162-053391d3afaf</x:v>
      </x:c>
      <x:c r="L231" s="36" t="str"/>
      <x:c r="M231" s="36" t="str"/>
      <x:c r="N231" s="36" t="str">
        <x:v>工作流程</x:v>
      </x:c>
      <x:c r="O231" s="36" t="str">
        <x:v>短期</x:v>
      </x:c>
      <x:c r="P231" s="36" t="str">
        <x:v>["libreoffice_calc"]</x:v>
      </x:c>
      <x:c r="Q231" s="36" t="str">
        <x:v>[{"step_id":"S1","app":"libreoffice_calc","action_key":"add_pass_fail_held_validation","input_artifacts":["Order_Id_Mark_Pass_Fail.xlsx"],"output_artifacts":["Order_Id_Mark_Pass_Fail.xlsx"],"depends_on":[]}]</x:v>
      </x:c>
      <x:c r="R231" s="36" t="str">
        <x:v>[]</x:v>
      </x:c>
      <x:c r="S231" s="36" t="str">
        <x:v>add_pass_fail_held_validation</x:v>
      </x:c>
      <x:c r="T231" s="36" t="str">
        <x:v>Order_Id_Mark_Pass_Fail.xlsx</x:v>
      </x:c>
      <x:c r="U231" s="36" t="str">
        <x:v>retrieve_and_execute</x:v>
      </x:c>
      <x:c r="V231" s="36" t="str">
        <x:v>[{"point_id":"P1","description":"主要处理方式与预期动作 add_pass_fail_held_validation 语义一致","weight":0.4,"evidence_memory_ids":["STM_ecb0df7a-4e8d-4a03-b162-053391d3afaf"]},{"point_id":"P2","description":"正确定位目标对象 Order_Id_Mark_Pass_Fail.xlsx","weight":0.2,"evidence_memory_ids":["STM_ecb0df7a-4e8d-4a03-b162-053391d3afaf"]},{"point_id":"P3","description":"满足关键条件：下拉选项只能是 Pass、Fail、Held；作用于目标列；不修改无关区域","weight":0.3,"evidence_memory_ids":["STM_ecb0df7a-4e8d-4a03-b162-053391d3afaf"]},{"point_id":"P4","description":"不增加无记忆证据支持的操作","weight":0.1,"evidence_memory_ids":["STM_ecb0df7a-4e8d-4a03-b162-053391d3afaf"]}]</x:v>
      </x:c>
      <x:c r="W231" s="36" t="str">
        <x:v>1.00</x:v>
      </x:c>
      <x:c r="X231" s="39" t="str">
        <x:v>目标列只允许 Pass、Fail、Held 三项，其他区域和内容不要动。</x:v>
      </x:c>
      <x:c r="Y231" s="39" t="str">
        <x:v>第1条记忆（短期/工作流程）：在 Order_Id_Mark_Pass_Fail.xlsx 的 Pass/Fail/Held 列应用数据验证，为每个目标单元格提供 Pass、Fail、Held 三个可选值的下拉列表。关键约束：下拉选项只能是 Pass、Fail、Held；作用于目标列；不修改无关区域。</x:v>
      </x:c>
      <x:c r="Z231" s="39" t="str">
        <x:v>不适用：当前题目不存在需要用户进一步选择的候选记忆。</x:v>
      </x:c>
      <x:c r="AA231" s="39" t="str">
        <x:v>不适用：当前题目没有指定需要排除的冲突或禁止记忆。</x:v>
      </x:c>
      <x:c r="AB231" s="39" t="str">
        <x:v>应执行以下操作：在 Order_Id_Mark_Pass_Fail.xlsx 的 Pass/Fail/Held 列应用数据验证，为每个目标单元格提供 Pass、Fail、Held 三个可选值的下拉列表。</x:v>
      </x:c>
      <x:c r="AC231" s="39" t="str">
        <x:v>第1项实际操作：在 Order_Id_Mark_Pass_Fail.xlsx 的 Pass/Fail/Held 列应用数据验证，为每个目标单元格提供 Pass、Fail、Held 三个可选值的下拉列表。执行时必须满足：下拉选项只能是 Pass、Fail、Held；作用于目标列；不修改无关区域。</x:v>
      </x:c>
      <x:c r="AD231" s="39" t="str">
        <x:v>用户的完整请求是：“目标列只允许 Pass、Fail、Held 三项，其他区域和内容不要动。” 第1个当前上下文：Order_Id_Mark_Pass_Fail.xlsx 已在 LibreOffice Calc 中打开。 当前请求是在已有办公上下文中继续、复用或重新强调既有处理方式。与该请求唯一对应的完整必需记忆如下：
第1条记忆（短期/工作流程）：在 Order_Id_Mark_Pass_Fail.xlsx 的 Pass/Fail/Held 列应用数据验证，为每个目标单元格提供 Pass、Fail、Held 三个可选值的下拉列表。关键约束：下拉选项只能是 Pass、Fail、Held；作用于目标列；不修改无关区域。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Order_Id_Mark_Pass_Fail.xlsx 的 Pass/Fail/Held 列应用数据验证，为每个目标单元格提供 Pass、Fail、Held 三个可选值的下拉列表。”</x:v>
      </x:c>
      <x:c r="AE231"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第2个得分点（0.20分）：正确定位目标对象 Order_Id_Mark_Pass_Fail.xlsx。该得分点所依据的完整证据为：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第3个得分点（0.30分）：满足关键条件：下拉选项只能是 Pass、Fail、Held；作用于目标列；不修改无关区域。该得分点所依据的完整证据为：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第4个得分点（0.10分）：不增加无记忆证据支持的操作。该得分点所依据的完整证据为：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31" s="50" t="str">
        <x:v>not_pass</x:v>
      </x:c>
      <x:c r="AG231" s="50" t="n">
        <x:v>0</x:v>
      </x:c>
    </x:row>
    <x:row r="232" ht="165" customHeight="1">
      <x:c r="A232" s="35" t="str">
        <x:v>f9584479-3d0d-4c79-affa-9ad7afdd8850_HQ1</x:v>
      </x:c>
      <x:c r="B232" s="36" t="str">
        <x:v>SG_TASK_f9584479-3d0d-4c79-affa-9ad7afdd8850</x:v>
      </x:c>
      <x:c r="C232" s="36" t="str">
        <x:v>f9584479-3d0d-4c79-affa-9ad7afdd8850</x:v>
      </x:c>
      <x:c r="D232" s="36" t="str">
        <x:v>Quarterly_Product_Sales_by_Zone.xlsx</x:v>
      </x:c>
      <x:c r="E232" s="36" t="str">
        <x:v>single_memory</x:v>
      </x:c>
      <x:c r="F232" s="36" t="str">
        <x:v>human_context_explicit</x:v>
      </x:c>
      <x:c r="G232" s="36" t="str">
        <x:v>test</x:v>
      </x:c>
      <x:c r="H232" s="36" t="str">
        <x:v>简单</x:v>
      </x:c>
      <x:c r="I232" s="36" t="str">
        <x:v>f9584479-3d0d-4c79-affa-9ad7afdd8850</x:v>
      </x:c>
      <x:c r="J232" s="36" t="str">
        <x:v>CTX_f9584479-3d0d-4c79-affa-9ad7afdd8850</x:v>
      </x:c>
      <x:c r="K232" s="36" t="str">
        <x:v>MTM_f9584479-3d0d-4c79-affa-9ad7afdd8850</x:v>
      </x:c>
      <x:c r="L232" s="36" t="str"/>
      <x:c r="M232" s="36" t="str"/>
      <x:c r="N232" s="36" t="str">
        <x:v>知识</x:v>
      </x:c>
      <x:c r="O232" s="36" t="str">
        <x:v>中期</x:v>
      </x:c>
      <x:c r="P232" s="36" t="str">
        <x:v>["libreoffice_calc"]</x:v>
      </x:c>
      <x:c r="Q232" s="36" t="str">
        <x:v>[{"step_id":"S1","app":"libreoffice_calc","action_key":"fill_missing_row_and_column_totals","input_artifacts":["Quarterly_Product_Sales_by_Zone.xlsx"],"output_artifacts":["Quarterly_Product_Sales_by_Zone.xlsx"],"depends_on":[]}]</x:v>
      </x:c>
      <x:c r="R232" s="36" t="str">
        <x:v>[]</x:v>
      </x:c>
      <x:c r="S232" s="36" t="str">
        <x:v>fill_missing_row_and_column_totals</x:v>
      </x:c>
      <x:c r="T232" s="36" t="str">
        <x:v>Quarterly_Product_Sales_by_Zone.xlsx</x:v>
      </x:c>
      <x:c r="U232" s="36" t="str">
        <x:v>retrieve_and_execute</x:v>
      </x:c>
      <x:c r="V232" s="36" t="str">
        <x:v>[{"point_id":"P1","description":"主要处理方式与预期动作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x:v>
      </x:c>
      <x:c r="W232" s="36" t="str">
        <x:v>1.00</x:v>
      </x:c>
      <x:c r="X232" s="39" t="str">
        <x:v>Quarterly_Product_Sales_by_Zone.xlsx 的行列合计按之前的规则把缺失部分补齐。</x:v>
      </x:c>
      <x:c r="Y232" s="39" t="str">
        <x:v>第1条记忆（中期/知识）：在 Quarterly_Product_Sales_by_Zone.xlsx 中计算并填补所有缺失的行总计和列总计。关键约束：同时检查行总计与列总计；只填缺失的总计单元格；保持原始明细不变。</x:v>
      </x:c>
      <x:c r="Z232" s="39" t="str">
        <x:v>不适用：当前题目不存在需要用户进一步选择的候选记忆。</x:v>
      </x:c>
      <x:c r="AA232" s="39" t="str">
        <x:v>不适用：当前题目没有指定需要排除的冲突或禁止记忆。</x:v>
      </x:c>
      <x:c r="AB232" s="39" t="str">
        <x:v>应执行以下操作：在 Quarterly_Product_Sales_by_Zone.xlsx 中计算并填补所有缺失的行总计和列总计。</x:v>
      </x:c>
      <x:c r="AC232" s="39" t="str">
        <x:v>第1项实际操作：在 Quarterly_Product_Sales_by_Zone.xlsx 中计算并填补所有缺失的行总计和列总计。执行时必须满足：同时检查行总计与列总计；只填缺失的总计单元格；保持原始明细不变。</x:v>
      </x:c>
      <x:c r="AD232" s="39" t="str">
        <x:v>用户的完整请求是：“Quarterly_Product_Sales_by_Zone.xlsx 的行列合计按之前的规则把缺失部分补齐。”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x:v>
      </x:c>
      <x:c r="AE232"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232" s="50" t="str">
        <x:v>not_pass</x:v>
      </x:c>
      <x:c r="AG232" s="50" t="n">
        <x:v>0</x:v>
      </x:c>
    </x:row>
    <x:row r="233" ht="165" customHeight="1">
      <x:c r="A233" s="35" t="str">
        <x:v>f9584479-3d0d-4c79-affa-9ad7afdd8850_HQ2</x:v>
      </x:c>
      <x:c r="B233" s="36" t="str">
        <x:v>SG_TASK_f9584479-3d0d-4c79-affa-9ad7afdd8850</x:v>
      </x:c>
      <x:c r="C233" s="36" t="str">
        <x:v>f9584479-3d0d-4c79-affa-9ad7afdd8850</x:v>
      </x:c>
      <x:c r="D233" s="36" t="str">
        <x:v>Quarterly_Product_Sales_by_Zone.xlsx</x:v>
      </x:c>
      <x:c r="E233" s="36" t="str">
        <x:v>single_memory</x:v>
      </x:c>
      <x:c r="F233" s="36" t="str">
        <x:v>human_goal_oriented</x:v>
      </x:c>
      <x:c r="G233" s="36" t="str">
        <x:v>test</x:v>
      </x:c>
      <x:c r="H233" s="36" t="str">
        <x:v>中等</x:v>
      </x:c>
      <x:c r="I233" s="36" t="str">
        <x:v>f9584479-3d0d-4c79-affa-9ad7afdd8850</x:v>
      </x:c>
      <x:c r="J233" s="36" t="str">
        <x:v>CTX_f9584479-3d0d-4c79-affa-9ad7afdd8850</x:v>
      </x:c>
      <x:c r="K233" s="36" t="str">
        <x:v>MTM_f9584479-3d0d-4c79-affa-9ad7afdd8850</x:v>
      </x:c>
      <x:c r="L233" s="36" t="str"/>
      <x:c r="M233" s="36" t="str"/>
      <x:c r="N233" s="36" t="str">
        <x:v>知识</x:v>
      </x:c>
      <x:c r="O233" s="36" t="str">
        <x:v>中期</x:v>
      </x:c>
      <x:c r="P233" s="36" t="str">
        <x:v>["libreoffice_calc"]</x:v>
      </x:c>
      <x:c r="Q233" s="36" t="str">
        <x:v>[{"step_id":"S1","app":"libreoffice_calc","action_key":"fill_missing_row_and_column_totals","input_artifacts":["Quarterly_Product_Sales_by_Zone.xlsx"],"output_artifacts":["Quarterly_Product_Sales_by_Zone.xlsx"],"depends_on":[]}]</x:v>
      </x:c>
      <x:c r="R233" s="36" t="str">
        <x:v>[]</x:v>
      </x:c>
      <x:c r="S233" s="36" t="str">
        <x:v>fill_missing_row_and_column_totals</x:v>
      </x:c>
      <x:c r="T233" s="36" t="str">
        <x:v>Quarterly_Product_Sales_by_Zone.xlsx</x:v>
      </x:c>
      <x:c r="U233" s="36" t="str">
        <x:v>retrieve_and_execute</x:v>
      </x:c>
      <x:c r="V233" s="36" t="str">
        <x:v>[{"point_id":"P1","description":"主要处理方式与预期动作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x:v>
      </x:c>
      <x:c r="W233" s="36" t="str">
        <x:v>1.00</x:v>
      </x:c>
      <x:c r="X233" s="39" t="str">
        <x:v>这张季度销售交叉表有些 Total 没算，麻烦横向和纵向都检查一遍。</x:v>
      </x:c>
      <x:c r="Y233" s="39" t="str">
        <x:v>第1条记忆（中期/知识）：在 Quarterly_Product_Sales_by_Zone.xlsx 中计算并填补所有缺失的行总计和列总计。关键约束：同时检查行总计与列总计；只填缺失的总计单元格；保持原始明细不变。</x:v>
      </x:c>
      <x:c r="Z233" s="39" t="str">
        <x:v>不适用：当前题目不存在需要用户进一步选择的候选记忆。</x:v>
      </x:c>
      <x:c r="AA233" s="39" t="str">
        <x:v>不适用：当前题目没有指定需要排除的冲突或禁止记忆。</x:v>
      </x:c>
      <x:c r="AB233" s="39" t="str">
        <x:v>应执行以下操作：在 Quarterly_Product_Sales_by_Zone.xlsx 中计算并填补所有缺失的行总计和列总计。</x:v>
      </x:c>
      <x:c r="AC233" s="39" t="str">
        <x:v>第1项实际操作：在 Quarterly_Product_Sales_by_Zone.xlsx 中计算并填补所有缺失的行总计和列总计。执行时必须满足：同时检查行总计与列总计；只填缺失的总计单元格；保持原始明细不变。</x:v>
      </x:c>
      <x:c r="AD233" s="39" t="str">
        <x:v>用户的完整请求是：“这张季度销售交叉表有些 Total 没算，麻烦横向和纵向都检查一遍。”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x:v>
      </x:c>
      <x:c r="AE233"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233" s="50" t="str">
        <x:v>not_pass</x:v>
      </x:c>
      <x:c r="AG233" s="50" t="n">
        <x:v>0</x:v>
      </x:c>
    </x:row>
    <x:row r="234" ht="165" customHeight="1">
      <x:c r="A234" s="35" t="str">
        <x:v>f9584479-3d0d-4c79-affa-9ad7afdd8850_HQ3</x:v>
      </x:c>
      <x:c r="B234" s="36" t="str">
        <x:v>SG_TASK_f9584479-3d0d-4c79-affa-9ad7afdd8850</x:v>
      </x:c>
      <x:c r="C234" s="36" t="str">
        <x:v>f9584479-3d0d-4c79-affa-9ad7afdd8850</x:v>
      </x:c>
      <x:c r="D234" s="36" t="str">
        <x:v>Quarterly_Product_Sales_by_Zone.xlsx</x:v>
      </x:c>
      <x:c r="E234" s="36" t="str">
        <x:v>single_memory</x:v>
      </x:c>
      <x:c r="F234" s="36" t="str">
        <x:v>contextual_ellipsis</x:v>
      </x:c>
      <x:c r="G234" s="36" t="str">
        <x:v>test</x:v>
      </x:c>
      <x:c r="H234" s="36" t="str">
        <x:v>中等</x:v>
      </x:c>
      <x:c r="I234" s="36" t="str">
        <x:v>f9584479-3d0d-4c79-affa-9ad7afdd8850</x:v>
      </x:c>
      <x:c r="J234" s="36" t="str">
        <x:v>CTX_f9584479-3d0d-4c79-affa-9ad7afdd8850</x:v>
      </x:c>
      <x:c r="K234" s="36" t="str">
        <x:v>MTM_f9584479-3d0d-4c79-affa-9ad7afdd8850</x:v>
      </x:c>
      <x:c r="L234" s="36" t="str"/>
      <x:c r="M234" s="36" t="str"/>
      <x:c r="N234" s="36" t="str">
        <x:v>知识</x:v>
      </x:c>
      <x:c r="O234" s="36" t="str">
        <x:v>中期</x:v>
      </x:c>
      <x:c r="P234" s="36" t="str">
        <x:v>["libreoffice_calc"]</x:v>
      </x:c>
      <x:c r="Q234" s="36" t="str">
        <x:v>[{"step_id":"S1","app":"libreoffice_calc","action_key":"fill_missing_row_and_column_totals","input_artifacts":["Quarterly_Product_Sales_by_Zone.xlsx"],"output_artifacts":["Quarterly_Product_Sales_by_Zone.xlsx"],"depends_on":[]}]</x:v>
      </x:c>
      <x:c r="R234" s="36" t="str">
        <x:v>[]</x:v>
      </x:c>
      <x:c r="S234" s="36" t="str">
        <x:v>fill_missing_row_and_column_totals</x:v>
      </x:c>
      <x:c r="T234" s="36" t="str">
        <x:v>Quarterly_Product_Sales_by_Zone.xlsx</x:v>
      </x:c>
      <x:c r="U234" s="36" t="str">
        <x:v>retrieve_and_execute</x:v>
      </x:c>
      <x:c r="V234" s="36" t="str">
        <x:v>[{"point_id":"P1","description":"主要处理方式与预期动作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x:v>
      </x:c>
      <x:c r="W234" s="36" t="str">
        <x:v>1.00</x:v>
      </x:c>
      <x:c r="X234" s="39" t="str">
        <x:v>当前分区销售表继续补总计，只处理空着的汇总格。</x:v>
      </x:c>
      <x:c r="Y234" s="39" t="str">
        <x:v>第1条记忆（中期/知识）：在 Quarterly_Product_Sales_by_Zone.xlsx 中计算并填补所有缺失的行总计和列总计。关键约束：同时检查行总计与列总计；只填缺失的总计单元格；保持原始明细不变。</x:v>
      </x:c>
      <x:c r="Z234" s="39" t="str">
        <x:v>不适用：当前题目不存在需要用户进一步选择的候选记忆。</x:v>
      </x:c>
      <x:c r="AA234" s="39" t="str">
        <x:v>不适用：当前题目没有指定需要排除的冲突或禁止记忆。</x:v>
      </x:c>
      <x:c r="AB234" s="39" t="str">
        <x:v>应执行以下操作：在 Quarterly_Product_Sales_by_Zone.xlsx 中计算并填补所有缺失的行总计和列总计。</x:v>
      </x:c>
      <x:c r="AC234" s="39" t="str">
        <x:v>第1项实际操作：在 Quarterly_Product_Sales_by_Zone.xlsx 中计算并填补所有缺失的行总计和列总计。执行时必须满足：同时检查行总计与列总计；只填缺失的总计单元格；保持原始明细不变。</x:v>
      </x:c>
      <x:c r="AD234" s="39" t="str">
        <x:v>用户的完整请求是：“当前分区销售表继续补总计，只处理空着的汇总格。”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x:v>
      </x:c>
      <x:c r="AE234"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234" s="50" t="str">
        <x:v>not_pass</x:v>
      </x:c>
      <x:c r="AG234" s="50" t="n">
        <x:v>0</x:v>
      </x:c>
    </x:row>
    <x:row r="235" ht="165" customHeight="1">
      <x:c r="A235" s="35" t="str">
        <x:v>f9584479-3d0d-4c79-affa-9ad7afdd8850_HQ4</x:v>
      </x:c>
      <x:c r="B235" s="36" t="str">
        <x:v>SG_TASK_f9584479-3d0d-4c79-affa-9ad7afdd8850</x:v>
      </x:c>
      <x:c r="C235" s="36" t="str">
        <x:v>f9584479-3d0d-4c79-affa-9ad7afdd8850</x:v>
      </x:c>
      <x:c r="D235" s="36" t="str">
        <x:v>Quarterly_Product_Sales_by_Zone.xlsx</x:v>
      </x:c>
      <x:c r="E235" s="36" t="str">
        <x:v>single_memory</x:v>
      </x:c>
      <x:c r="F235" s="36" t="str">
        <x:v>low_overlap_paraphrase</x:v>
      </x:c>
      <x:c r="G235" s="36" t="str">
        <x:v>test</x:v>
      </x:c>
      <x:c r="H235" s="36" t="str">
        <x:v>困难</x:v>
      </x:c>
      <x:c r="I235" s="36" t="str">
        <x:v>f9584479-3d0d-4c79-affa-9ad7afdd8850</x:v>
      </x:c>
      <x:c r="J235" s="36" t="str">
        <x:v>CTX_f9584479-3d0d-4c79-affa-9ad7afdd8850</x:v>
      </x:c>
      <x:c r="K235" s="36" t="str">
        <x:v>MTM_f9584479-3d0d-4c79-affa-9ad7afdd8850</x:v>
      </x:c>
      <x:c r="L235" s="36" t="str"/>
      <x:c r="M235" s="36" t="str"/>
      <x:c r="N235" s="36" t="str">
        <x:v>知识</x:v>
      </x:c>
      <x:c r="O235" s="36" t="str">
        <x:v>中期</x:v>
      </x:c>
      <x:c r="P235" s="36" t="str">
        <x:v>["libreoffice_calc"]</x:v>
      </x:c>
      <x:c r="Q235" s="36" t="str">
        <x:v>[{"step_id":"S1","app":"libreoffice_calc","action_key":"fill_missing_row_and_column_totals","input_artifacts":["Quarterly_Product_Sales_by_Zone.xlsx"],"output_artifacts":["Quarterly_Product_Sales_by_Zone.xlsx"],"depends_on":[]}]</x:v>
      </x:c>
      <x:c r="R235" s="36" t="str">
        <x:v>[]</x:v>
      </x:c>
      <x:c r="S235" s="36" t="str">
        <x:v>fill_missing_row_and_column_totals</x:v>
      </x:c>
      <x:c r="T235" s="36" t="str">
        <x:v>Quarterly_Product_Sales_by_Zone.xlsx</x:v>
      </x:c>
      <x:c r="U235" s="36" t="str">
        <x:v>retrieve_and_execute</x:v>
      </x:c>
      <x:c r="V235" s="36" t="str">
        <x:v>[{"point_id":"P1","description":"主要处理方式与预期动作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x:v>
      </x:c>
      <x:c r="W235" s="36" t="str">
        <x:v>1.00</x:v>
      </x:c>
      <x:c r="X235" s="39" t="str">
        <x:v>为了核对各产品和各区域的数字，请把两边缺少的合计都算完整。</x:v>
      </x:c>
      <x:c r="Y235" s="39" t="str">
        <x:v>第1条记忆（中期/知识）：在 Quarterly_Product_Sales_by_Zone.xlsx 中计算并填补所有缺失的行总计和列总计。关键约束：同时检查行总计与列总计；只填缺失的总计单元格；保持原始明细不变。</x:v>
      </x:c>
      <x:c r="Z235" s="39" t="str">
        <x:v>不适用：当前题目不存在需要用户进一步选择的候选记忆。</x:v>
      </x:c>
      <x:c r="AA235" s="39" t="str">
        <x:v>不适用：当前题目没有指定需要排除的冲突或禁止记忆。</x:v>
      </x:c>
      <x:c r="AB235" s="39" t="str">
        <x:v>应执行以下操作：在 Quarterly_Product_Sales_by_Zone.xlsx 中计算并填补所有缺失的行总计和列总计。</x:v>
      </x:c>
      <x:c r="AC235" s="39" t="str">
        <x:v>第1项实际操作：在 Quarterly_Product_Sales_by_Zone.xlsx 中计算并填补所有缺失的行总计和列总计。执行时必须满足：同时检查行总计与列总计；只填缺失的总计单元格；保持原始明细不变。</x:v>
      </x:c>
      <x:c r="AD235" s="39" t="str">
        <x:v>用户的完整请求是：“为了核对各产品和各区域的数字，请把两边缺少的合计都算完整。”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x:v>
      </x:c>
      <x:c r="AE235"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235" s="50" t="str">
        <x:v>not_pass</x:v>
      </x:c>
      <x:c r="AG235" s="50" t="n">
        <x:v>0</x:v>
      </x:c>
    </x:row>
    <x:row r="236" ht="165" customHeight="1">
      <x:c r="A236" s="35" t="str">
        <x:v>f9584479-3d0d-4c79-affa-9ad7afdd8850_HQ5</x:v>
      </x:c>
      <x:c r="B236" s="36" t="str">
        <x:v>SG_TASK_f9584479-3d0d-4c79-affa-9ad7afdd8850</x:v>
      </x:c>
      <x:c r="C236" s="36" t="str">
        <x:v>f9584479-3d0d-4c79-affa-9ad7afdd8850</x:v>
      </x:c>
      <x:c r="D236" s="36" t="str">
        <x:v>Quarterly_Product_Sales_by_Zone.xlsx</x:v>
      </x:c>
      <x:c r="E236" s="36" t="str">
        <x:v>single_memory</x:v>
      </x:c>
      <x:c r="F236" s="36" t="str">
        <x:v>human_constraint_emphasis</x:v>
      </x:c>
      <x:c r="G236" s="36" t="str">
        <x:v>test</x:v>
      </x:c>
      <x:c r="H236" s="36" t="str">
        <x:v>困难</x:v>
      </x:c>
      <x:c r="I236" s="36" t="str">
        <x:v>f9584479-3d0d-4c79-affa-9ad7afdd8850</x:v>
      </x:c>
      <x:c r="J236" s="36" t="str">
        <x:v>CTX_f9584479-3d0d-4c79-affa-9ad7afdd8850</x:v>
      </x:c>
      <x:c r="K236" s="36" t="str">
        <x:v>MTM_f9584479-3d0d-4c79-affa-9ad7afdd8850</x:v>
      </x:c>
      <x:c r="L236" s="36" t="str"/>
      <x:c r="M236" s="36" t="str"/>
      <x:c r="N236" s="36" t="str">
        <x:v>知识</x:v>
      </x:c>
      <x:c r="O236" s="36" t="str">
        <x:v>中期</x:v>
      </x:c>
      <x:c r="P236" s="36" t="str">
        <x:v>["libreoffice_calc"]</x:v>
      </x:c>
      <x:c r="Q236" s="36" t="str">
        <x:v>[{"step_id":"S1","app":"libreoffice_calc","action_key":"fill_missing_row_and_column_totals","input_artifacts":["Quarterly_Product_Sales_by_Zone.xlsx"],"output_artifacts":["Quarterly_Product_Sales_by_Zone.xlsx"],"depends_on":[]}]</x:v>
      </x:c>
      <x:c r="R236" s="36" t="str">
        <x:v>[]</x:v>
      </x:c>
      <x:c r="S236" s="36" t="str">
        <x:v>fill_missing_row_and_column_totals</x:v>
      </x:c>
      <x:c r="T236" s="36" t="str">
        <x:v>Quarterly_Product_Sales_by_Zone.xlsx</x:v>
      </x:c>
      <x:c r="U236" s="36" t="str">
        <x:v>retrieve_and_execute</x:v>
      </x:c>
      <x:c r="V236" s="36" t="str">
        <x:v>[{"point_id":"P1","description":"主要处理方式与预期动作 fill_missing_row_and_column_totals 语义一致","weight":0.4,"evidence_memory_ids":["MTM_f9584479-3d0d-4c79-affa-9ad7afdd8850"]},{"point_id":"P2","description":"正确定位目标对象 Quarterly_Product_Sales_by_Zone.xlsx","weight":0.2,"evidence_memory_ids":["MTM_f9584479-3d0d-4c79-affa-9ad7afdd8850"]},{"point_id":"P3","description":"满足关键条件：同时检查行总计与列总计；只填缺失的总计单元格；保持原始明细不变","weight":0.3,"evidence_memory_ids":["MTM_f9584479-3d0d-4c79-affa-9ad7afdd8850"]},{"point_id":"P4","description":"不增加无记忆证据支持的操作","weight":0.1,"evidence_memory_ids":["MTM_f9584479-3d0d-4c79-affa-9ad7afdd8850"]}]</x:v>
      </x:c>
      <x:c r="W236" s="36" t="str">
        <x:v>1.00</x:v>
      </x:c>
      <x:c r="X236" s="39" t="str">
        <x:v>行 Total、列 Total 都要补，但已有明细和现成合计不要改。</x:v>
      </x:c>
      <x:c r="Y236" s="39" t="str">
        <x:v>第1条记忆（中期/知识）：在 Quarterly_Product_Sales_by_Zone.xlsx 中计算并填补所有缺失的行总计和列总计。关键约束：同时检查行总计与列总计；只填缺失的总计单元格；保持原始明细不变。</x:v>
      </x:c>
      <x:c r="Z236" s="39" t="str">
        <x:v>不适用：当前题目不存在需要用户进一步选择的候选记忆。</x:v>
      </x:c>
      <x:c r="AA236" s="39" t="str">
        <x:v>不适用：当前题目没有指定需要排除的冲突或禁止记忆。</x:v>
      </x:c>
      <x:c r="AB236" s="39" t="str">
        <x:v>应执行以下操作：在 Quarterly_Product_Sales_by_Zone.xlsx 中计算并填补所有缺失的行总计和列总计。</x:v>
      </x:c>
      <x:c r="AC236" s="39" t="str">
        <x:v>第1项实际操作：在 Quarterly_Product_Sales_by_Zone.xlsx 中计算并填补所有缺失的行总计和列总计。执行时必须满足：同时检查行总计与列总计；只填缺失的总计单元格；保持原始明细不变。</x:v>
      </x:c>
      <x:c r="AD236" s="39" t="str">
        <x:v>用户的完整请求是：“行 Total、列 Total 都要补，但已有明细和现成合计不要改。” 第1个当前上下文：Quarterly_Product_Sales_by_Zone.xlsx 已在 LibreOffice Calc 中打开。 当前请求是在已有办公上下文中继续、复用或重新强调既有处理方式。与该请求唯一对应的完整必需记忆如下：
第1条记忆（中期/知识）：在 Quarterly_Product_Sales_by_Zone.xlsx 中计算并填补所有缺失的行总计和列总计。关键约束：同时检查行总计与列总计；只填缺失的总计单元格；保持原始明细不变。
这条记忆同时给出了需要处理的文件或对象、应执行的实际操作以及必须遵守的范围和约束。当前 Query 没有提出与这条记忆相冲突的新规则，也没有出现需要在多个候选方案之间选择的信息；当前上下文中的活动文件或工作主题也与该记忆相符。因此系统应直接调用这条记忆恢复完整操作，而不是只根据 Query 中出现的少量词语临时猜测，也不能加入记忆证据没有支持的额外修改。最终应给出的完整结论是：“应执行以下操作：在 Quarterly_Product_Sales_by_Zone.xlsx 中计算并填补所有缺失的行总计和列总计。”</x:v>
      </x:c>
      <x:c r="AE236" s="39" t="str">
        <x:v>本题总分为 1.00 分，各得分点独立累计，允许语义等价表达，不要求模型输出记忆 ID，也不要求逐字复述记忆原文。
第1个得分点（0.40分）：主要处理方式与本题必需记忆所规定的实际操作语义一致。该得分点所依据的完整证据为：
第1条记忆（中期/知识）：在 Quarterly_Product_Sales_by_Zone.xlsx 中计算并填补所有缺失的行总计和列总计。关键约束：同时检查行总计与列总计；只填缺失的总计单元格；保持原始明细不变。
第2个得分点（0.20分）：正确定位目标对象 Quarterly_Product_Sales_by_Zone.xlsx。该得分点所依据的完整证据为：
第1条记忆（中期/知识）：在 Quarterly_Product_Sales_by_Zone.xlsx 中计算并填补所有缺失的行总计和列总计。关键约束：同时检查行总计与列总计；只填缺失的总计单元格；保持原始明细不变。
第3个得分点（0.30分）：满足关键条件：同时检查行总计与列总计；只填缺失的总计单元格；保持原始明细不变。该得分点所依据的完整证据为：
第1条记忆（中期/知识）：在 Quarterly_Product_Sales_by_Zone.xlsx 中计算并填补所有缺失的行总计和列总计。关键约束：同时检查行总计与列总计；只填缺失的总计单元格；保持原始明细不变。
第4个得分点（0.10分）：不增加无记忆证据支持的操作。该得分点所依据的完整证据为：
第1条记忆（中期/知识）：在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236" s="50" t="str">
        <x:v>not_pass</x:v>
      </x:c>
      <x:c r="AG236" s="50" t="n">
        <x:v>0</x:v>
      </x:c>
    </x:row>
    <x:row r="237" ht="216" customHeight="1">
      <x:c r="A237" s="35" t="str">
        <x:v>V3_CM06_Q01</x:v>
      </x:c>
      <x:c r="B237" s="36" t="str">
        <x:v>SG_COMP_CM06</x:v>
      </x:c>
      <x:c r="C237" s="36" t="str">
        <x:v>CM06</x:v>
      </x:c>
      <x:c r="D237" s="36" t="str">
        <x:v>财务利润与收支汇总</x:v>
      </x:c>
      <x:c r="E237" s="36" t="str">
        <x:v>complementary_multi_memory</x:v>
      </x:c>
      <x:c r="F237" s="36" t="str">
        <x:v>human_context_explicit</x:v>
      </x:c>
      <x:c r="G237" s="36" t="str">
        <x:v>challenge</x:v>
      </x:c>
      <x:c r="H237" s="36" t="str">
        <x:v>困难</x:v>
      </x:c>
      <x:c r="I237" s="36" t="str">
        <x:v>035f41ba-6653-43ab-aa63-c86d449d62e5|42e0a640-4f19-4b28-973d-729602b5a4a7</x:v>
      </x:c>
      <x:c r="J237" s="36" t="str">
        <x:v>CTX_035f41ba-6653-43ab-aa63-c86d449d62e5|CTX_42e0a640-4f19-4b28-973d-729602b5a4a7</x:v>
      </x:c>
      <x:c r="K237" s="36" t="str">
        <x:v>LTM_035f41ba-6653-43ab-aa63-c86d449d62e5|LTM_42e0a640-4f19-4b28-973d-729602b5a4a7</x:v>
      </x:c>
      <x:c r="L237" s="36" t="str"/>
      <x:c r="M237" s="36" t="str"/>
      <x:c r="N237" s="36" t="str">
        <x:v>知识</x:v>
      </x:c>
      <x:c r="O237" s="36" t="str">
        <x:v>长期</x:v>
      </x:c>
      <x:c r="P237" s="36" t="str">
        <x:v>["libreoffice_calc"]</x:v>
      </x:c>
      <x:c r="Q237" s="36" t="str">
        <x:v>[{"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x:v>
      </x:c>
      <x:c r="R237" s="36" t="str">
        <x:v>[]</x:v>
      </x:c>
      <x:c r="S237" s="36" t="str">
        <x:v>calculate_gross_profit_and_year_profit_key|summarize_revenue_and_expenses</x:v>
      </x:c>
      <x:c r="T237" s="36" t="str">
        <x:v>IncomeStatement2.xlsx|NetIncome.xlsx</x:v>
      </x:c>
      <x:c r="U237" s="36" t="str">
        <x:v>retrieve_and_synthesize</x:v>
      </x:c>
      <x:c r="V237" s="36" t="str">
        <x:v>[{"point_id":"P1","description":"在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x:v>
      </x:c>
      <x:c r="W237" s="36" t="str">
        <x:v>1.00</x:v>
      </x:c>
      <x:c r="X237" s="39" t="str">
        <x:v>我今天要一起处理这批表。先做第1件事：在 IncomeStatement2.xlsx 中，以实际销售额扣除折扣、折让、材料费、人工费和管理费用得到 Gross profit；再在 Sheet2 的 Year_Profit 列中把年份、下划线和毛利整数部分拼接起来；再做第2件事：在 NetIncome.xlsx 新建 Sheet2，分别计算 Revenue 列和 Total Expenses 列的总和，并放在 Total Revenue 与 Total Expenses 两列下。都按各自原来的规则完成。</x:v>
      </x:c>
      <x:c r="Y237"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x:v>
      </x:c>
      <x:c r="Z237" s="39" t="str">
        <x:v>不适用：当前题目不存在需要用户进一步选择的候选记忆。</x:v>
      </x:c>
      <x:c r="AA237" s="39" t="str">
        <x:v>不适用：当前题目没有指定需要排除的冲突或禁止记忆。</x:v>
      </x:c>
      <x:c r="AB237" s="39" t="str">
        <x:v>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237"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237" s="39" t="str">
        <x:v>用户的完整请求是：“我今天要一起处理这批表。先做第1件事：在 IncomeStatement2.xlsx 中，以实际销售额扣除折扣、折让、材料费、人工费和管理费用得到 Gross profit；再在 Sheet2 的 Year_Profit 列中把年份、下划线和毛利整数部分拼接起来；再做第2件事：在 NetIncome.xlsx 新建 Sheet2，分别计算 Revenue 列和 Total Expenses 列的总和，并放在 Total Revenue 与 Total Expenses 两列下。都按各自原来的规则完成。”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237" s="39" t="str">
        <x:v>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237" s="50" t="str">
        <x:v>not_pass</x:v>
      </x:c>
      <x:c r="AG237" s="50" t="n">
        <x:v>0</x:v>
      </x:c>
    </x:row>
    <x:row r="238" ht="216" customHeight="1">
      <x:c r="A238" s="35" t="str">
        <x:v>V3_CM06_Q02</x:v>
      </x:c>
      <x:c r="B238" s="36" t="str">
        <x:v>SG_COMP_CM06</x:v>
      </x:c>
      <x:c r="C238" s="36" t="str">
        <x:v>CM06</x:v>
      </x:c>
      <x:c r="D238" s="36" t="str">
        <x:v>财务利润与收支汇总</x:v>
      </x:c>
      <x:c r="E238" s="36" t="str">
        <x:v>complementary_multi_memory</x:v>
      </x:c>
      <x:c r="F238" s="36" t="str">
        <x:v>human_goal_oriented</x:v>
      </x:c>
      <x:c r="G238" s="36" t="str">
        <x:v>challenge</x:v>
      </x:c>
      <x:c r="H238" s="36" t="str">
        <x:v>困难</x:v>
      </x:c>
      <x:c r="I238" s="36" t="str">
        <x:v>035f41ba-6653-43ab-aa63-c86d449d62e5|42e0a640-4f19-4b28-973d-729602b5a4a7</x:v>
      </x:c>
      <x:c r="J238" s="36" t="str">
        <x:v>CTX_035f41ba-6653-43ab-aa63-c86d449d62e5|CTX_42e0a640-4f19-4b28-973d-729602b5a4a7</x:v>
      </x:c>
      <x:c r="K238" s="36" t="str">
        <x:v>LTM_035f41ba-6653-43ab-aa63-c86d449d62e5|LTM_42e0a640-4f19-4b28-973d-729602b5a4a7</x:v>
      </x:c>
      <x:c r="L238" s="36" t="str"/>
      <x:c r="M238" s="36" t="str"/>
      <x:c r="N238" s="36" t="str">
        <x:v>知识</x:v>
      </x:c>
      <x:c r="O238" s="36" t="str">
        <x:v>长期</x:v>
      </x:c>
      <x:c r="P238" s="36" t="str">
        <x:v>["libreoffice_calc"]</x:v>
      </x:c>
      <x:c r="Q238" s="36" t="str">
        <x:v>[{"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x:v>
      </x:c>
      <x:c r="R238" s="36" t="str">
        <x:v>[]</x:v>
      </x:c>
      <x:c r="S238" s="36" t="str">
        <x:v>calculate_gross_profit_and_year_profit_key|summarize_revenue_and_expenses</x:v>
      </x:c>
      <x:c r="T238" s="36" t="str">
        <x:v>IncomeStatement2.xlsx|NetIncome.xlsx</x:v>
      </x:c>
      <x:c r="U238" s="36" t="str">
        <x:v>retrieve_and_synthesize</x:v>
      </x:c>
      <x:c r="V238" s="36" t="str">
        <x:v>[{"point_id":"P1","description":"在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x:v>
      </x:c>
      <x:c r="W238" s="36" t="str">
        <x:v>1.00</x:v>
      </x:c>
      <x:c r="X238" s="39" t="str">
        <x:v>这批文件马上要交付，帮我把几项工作一起收尾：第1件：在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x:v>
      </x:c>
      <x:c r="Y238"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x:v>
      </x:c>
      <x:c r="Z238" s="39" t="str">
        <x:v>不适用：当前题目不存在需要用户进一步选择的候选记忆。</x:v>
      </x:c>
      <x:c r="AA238" s="39" t="str">
        <x:v>不适用：当前题目没有指定需要排除的冲突或禁止记忆。</x:v>
      </x:c>
      <x:c r="AB238" s="39" t="str">
        <x:v>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238"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238" s="39" t="str">
        <x:v>用户的完整请求是：“这批文件马上要交付，帮我把几项工作一起收尾：第1件：在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238" s="39" t="str">
        <x:v>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238" s="50" t="str">
        <x:v>not_pass</x:v>
      </x:c>
      <x:c r="AG238" s="50" t="n">
        <x:v>0</x:v>
      </x:c>
    </x:row>
    <x:row r="239" ht="216" customHeight="1">
      <x:c r="A239" s="35" t="str">
        <x:v>V3_CM06_Q03</x:v>
      </x:c>
      <x:c r="B239" s="36" t="str">
        <x:v>SG_COMP_CM06</x:v>
      </x:c>
      <x:c r="C239" s="36" t="str">
        <x:v>CM06</x:v>
      </x:c>
      <x:c r="D239" s="36" t="str">
        <x:v>财务利润与收支汇总</x:v>
      </x:c>
      <x:c r="E239" s="36" t="str">
        <x:v>complementary_multi_memory</x:v>
      </x:c>
      <x:c r="F239" s="36" t="str">
        <x:v>contextual_ellipsis</x:v>
      </x:c>
      <x:c r="G239" s="36" t="str">
        <x:v>challenge</x:v>
      </x:c>
      <x:c r="H239" s="36" t="str">
        <x:v>困难</x:v>
      </x:c>
      <x:c r="I239" s="36" t="str">
        <x:v>035f41ba-6653-43ab-aa63-c86d449d62e5|42e0a640-4f19-4b28-973d-729602b5a4a7</x:v>
      </x:c>
      <x:c r="J239" s="36" t="str">
        <x:v>CTX_035f41ba-6653-43ab-aa63-c86d449d62e5|CTX_42e0a640-4f19-4b28-973d-729602b5a4a7</x:v>
      </x:c>
      <x:c r="K239" s="36" t="str">
        <x:v>LTM_035f41ba-6653-43ab-aa63-c86d449d62e5|LTM_42e0a640-4f19-4b28-973d-729602b5a4a7</x:v>
      </x:c>
      <x:c r="L239" s="36" t="str"/>
      <x:c r="M239" s="36" t="str"/>
      <x:c r="N239" s="36" t="str">
        <x:v>知识</x:v>
      </x:c>
      <x:c r="O239" s="36" t="str">
        <x:v>长期</x:v>
      </x:c>
      <x:c r="P239" s="36" t="str">
        <x:v>["libreoffice_calc"]</x:v>
      </x:c>
      <x:c r="Q239" s="36" t="str">
        <x:v>[{"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x:v>
      </x:c>
      <x:c r="R239" s="36" t="str">
        <x:v>[]</x:v>
      </x:c>
      <x:c r="S239" s="36" t="str">
        <x:v>calculate_gross_profit_and_year_profit_key|summarize_revenue_and_expenses</x:v>
      </x:c>
      <x:c r="T239" s="36" t="str">
        <x:v>IncomeStatement2.xlsx|NetIncome.xlsx</x:v>
      </x:c>
      <x:c r="U239" s="36" t="str">
        <x:v>retrieve_and_synthesize</x:v>
      </x:c>
      <x:c r="V239" s="36" t="str">
        <x:v>[{"point_id":"P1","description":"在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x:v>
      </x:c>
      <x:c r="W239" s="36" t="str">
        <x:v>1.00</x:v>
      </x:c>
      <x:c r="X239" s="39" t="str">
        <x:v>相关工作表我都打开了，接着分别处理：第1件：在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x:v>
      </x:c>
      <x:c r="Y239"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x:v>
      </x:c>
      <x:c r="Z239" s="39" t="str">
        <x:v>不适用：当前题目不存在需要用户进一步选择的候选记忆。</x:v>
      </x:c>
      <x:c r="AA239" s="39" t="str">
        <x:v>不适用：当前题目没有指定需要排除的冲突或禁止记忆。</x:v>
      </x:c>
      <x:c r="AB239" s="39" t="str">
        <x:v>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239"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239" s="39" t="str">
        <x:v>用户的完整请求是：“相关工作表我都打开了，接着分别处理：第1件：在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239" s="39" t="str">
        <x:v>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239" s="50" t="str">
        <x:v>not_pass</x:v>
      </x:c>
      <x:c r="AG239" s="50" t="n">
        <x:v>0</x:v>
      </x:c>
    </x:row>
    <x:row r="240" ht="216" customHeight="1">
      <x:c r="A240" s="35" t="str">
        <x:v>V3_CM06_Q04</x:v>
      </x:c>
      <x:c r="B240" s="36" t="str">
        <x:v>SG_COMP_CM06</x:v>
      </x:c>
      <x:c r="C240" s="36" t="str">
        <x:v>CM06</x:v>
      </x:c>
      <x:c r="D240" s="36" t="str">
        <x:v>财务利润与收支汇总</x:v>
      </x:c>
      <x:c r="E240" s="36" t="str">
        <x:v>complementary_multi_memory</x:v>
      </x:c>
      <x:c r="F240" s="36" t="str">
        <x:v>low_overlap_paraphrase</x:v>
      </x:c>
      <x:c r="G240" s="36" t="str">
        <x:v>challenge</x:v>
      </x:c>
      <x:c r="H240" s="36" t="str">
        <x:v>困难</x:v>
      </x:c>
      <x:c r="I240" s="36" t="str">
        <x:v>035f41ba-6653-43ab-aa63-c86d449d62e5|42e0a640-4f19-4b28-973d-729602b5a4a7</x:v>
      </x:c>
      <x:c r="J240" s="36" t="str">
        <x:v>CTX_035f41ba-6653-43ab-aa63-c86d449d62e5|CTX_42e0a640-4f19-4b28-973d-729602b5a4a7</x:v>
      </x:c>
      <x:c r="K240" s="36" t="str">
        <x:v>LTM_035f41ba-6653-43ab-aa63-c86d449d62e5|LTM_42e0a640-4f19-4b28-973d-729602b5a4a7</x:v>
      </x:c>
      <x:c r="L240" s="36" t="str"/>
      <x:c r="M240" s="36" t="str"/>
      <x:c r="N240" s="36" t="str">
        <x:v>知识</x:v>
      </x:c>
      <x:c r="O240" s="36" t="str">
        <x:v>长期</x:v>
      </x:c>
      <x:c r="P240" s="36" t="str">
        <x:v>["libreoffice_calc"]</x:v>
      </x:c>
      <x:c r="Q240" s="36" t="str">
        <x:v>[{"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x:v>
      </x:c>
      <x:c r="R240" s="36" t="str">
        <x:v>[]</x:v>
      </x:c>
      <x:c r="S240" s="36" t="str">
        <x:v>calculate_gross_profit_and_year_profit_key|summarize_revenue_and_expenses</x:v>
      </x:c>
      <x:c r="T240" s="36" t="str">
        <x:v>IncomeStatement2.xlsx|NetIncome.xlsx</x:v>
      </x:c>
      <x:c r="U240" s="36" t="str">
        <x:v>retrieve_and_synthesize</x:v>
      </x:c>
      <x:c r="V240" s="36" t="str">
        <x:v>[{"point_id":"P1","description":"在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x:v>
      </x:c>
      <x:c r="W240" s="36" t="str">
        <x:v>1.00</x:v>
      </x:c>
      <x:c r="X240" s="39" t="str">
        <x:v>我想一次把这批工作做完：第1件：在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两列下。不同文件的规则别串在一起。</x:v>
      </x:c>
      <x:c r="Y240"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x:v>
      </x:c>
      <x:c r="Z240" s="39" t="str">
        <x:v>不适用：当前题目不存在需要用户进一步选择的候选记忆。</x:v>
      </x:c>
      <x:c r="AA240" s="39" t="str">
        <x:v>不适用：当前题目没有指定需要排除的冲突或禁止记忆。</x:v>
      </x:c>
      <x:c r="AB240" s="39" t="str">
        <x:v>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240"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240" s="39" t="str">
        <x:v>用户的完整请求是：“我想一次把这批工作做完：第1件：在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两列下。不同文件的规则别串在一起。”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240" s="39" t="str">
        <x:v>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240" s="50" t="str">
        <x:v>not_pass</x:v>
      </x:c>
      <x:c r="AG240" s="50" t="n">
        <x:v>0</x:v>
      </x:c>
    </x:row>
    <x:row r="241" ht="216" customHeight="1">
      <x:c r="A241" s="35" t="str">
        <x:v>V3_CM06_Q05</x:v>
      </x:c>
      <x:c r="B241" s="36" t="str">
        <x:v>SG_COMP_CM06</x:v>
      </x:c>
      <x:c r="C241" s="36" t="str">
        <x:v>CM06</x:v>
      </x:c>
      <x:c r="D241" s="36" t="str">
        <x:v>财务利润与收支汇总</x:v>
      </x:c>
      <x:c r="E241" s="36" t="str">
        <x:v>complementary_multi_memory</x:v>
      </x:c>
      <x:c r="F241" s="36" t="str">
        <x:v>human_constraint_emphasis</x:v>
      </x:c>
      <x:c r="G241" s="36" t="str">
        <x:v>challenge</x:v>
      </x:c>
      <x:c r="H241" s="36" t="str">
        <x:v>困难</x:v>
      </x:c>
      <x:c r="I241" s="36" t="str">
        <x:v>035f41ba-6653-43ab-aa63-c86d449d62e5|42e0a640-4f19-4b28-973d-729602b5a4a7</x:v>
      </x:c>
      <x:c r="J241" s="36" t="str">
        <x:v>CTX_035f41ba-6653-43ab-aa63-c86d449d62e5|CTX_42e0a640-4f19-4b28-973d-729602b5a4a7</x:v>
      </x:c>
      <x:c r="K241" s="36" t="str">
        <x:v>LTM_035f41ba-6653-43ab-aa63-c86d449d62e5|LTM_42e0a640-4f19-4b28-973d-729602b5a4a7</x:v>
      </x:c>
      <x:c r="L241" s="36" t="str"/>
      <x:c r="M241" s="36" t="str"/>
      <x:c r="N241" s="36" t="str">
        <x:v>知识</x:v>
      </x:c>
      <x:c r="O241" s="36" t="str">
        <x:v>长期</x:v>
      </x:c>
      <x:c r="P241" s="36" t="str">
        <x:v>["libreoffice_calc"]</x:v>
      </x:c>
      <x:c r="Q241" s="36" t="str">
        <x:v>[{"step_id":"S1","app":"libreoffice_calc","action_key":"calculate_gross_profit_and_year_profit_key","input_artifacts":["IncomeStatement2.xlsx"],"output_artifacts":["IncomeStatement2.xlsx"],"depends_on":[]},{"step_id":"S2","app":"libreoffice_calc","action_key":"summarize_revenue_and_expenses","input_artifacts":["NetIncome.xlsx"],"output_artifacts":["NetIncome.xlsx"],"depends_on":[]}]</x:v>
      </x:c>
      <x:c r="R241" s="36" t="str">
        <x:v>[]</x:v>
      </x:c>
      <x:c r="S241" s="36" t="str">
        <x:v>calculate_gross_profit_and_year_profit_key|summarize_revenue_and_expenses</x:v>
      </x:c>
      <x:c r="T241" s="36" t="str">
        <x:v>IncomeStatement2.xlsx|NetIncome.xlsx</x:v>
      </x:c>
      <x:c r="U241" s="36" t="str">
        <x:v>retrieve_and_synthesize</x:v>
      </x:c>
      <x:c r="V241" s="36" t="str">
        <x:v>[{"point_id":"P1","description":"在 IncomeStatement2.xlsx 中，以实际销售额扣除折扣、折让、材料费、人工费和管理费用得到 Gross profit；再在 Sheet2 的 Year_Profit 列中把年份、下划线和毛利整数部分拼接起来。","weight":0.45,"evidence_memory_ids":["LTM_035f41ba-6653-43ab-aa63-c86d449d62e5"]},{"point_id":"P2","description":"在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035f41ba-6653-43ab-aa63-c86d449d62e5","LTM_42e0a640-4f19-4b28-973d-729602b5a4a7"]}]</x:v>
      </x:c>
      <x:c r="W241" s="36" t="str">
        <x:v>1.00</x:v>
      </x:c>
      <x:c r="X241" s="39" t="str">
        <x:v>这次按文件分别处理，要求如下：第1件：在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x:v>
      </x:c>
      <x:c r="Y241" s="39" t="str">
        <x:v>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x:v>
      </x:c>
      <x:c r="Z241" s="39" t="str">
        <x:v>不适用：当前题目不存在需要用户进一步选择的候选记忆。</x:v>
      </x:c>
      <x:c r="AA241" s="39" t="str">
        <x:v>不适用：当前题目没有指定需要排除的冲突或禁止记忆。</x:v>
      </x:c>
      <x:c r="AB241" s="39" t="str">
        <x:v>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241" s="39" t="str">
        <x:v>第1项实际操作：在 IncomeStatement2.xlsx 中，以实际销售额扣除折扣、折让、材料费、人工费和管理费用得到 Gross profit；再在 Sheet2 的 Year_Profit 列中把年份、下划线和毛利整数部分拼接起来。执行时必须满足：毛利必须扣除题目列出的全部费用；Year_Profit 使用年份_毛利整数的格式。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241" s="39" t="str">
        <x:v>用户的完整请求是：“这次按文件分别处理，要求如下：第1件：在 IncomeStatement2.xlsx 中，以实际销售额扣除折扣、折让、材料费、人工费和管理费用得到 Gross profit；再在 Sheet2 的 Year_Profit 列中把年份、下划线和毛利整数部分拼接起来；第2件：在 NetIncome.xlsx 新建 Sheet2，分别计算 Revenue 列和 Total Expenses 列的总和，并放在 Total Revenue 与 Total Expenses 两列下。” 第1个当前上下文：IncomeStatement2.xlsx 已在 LibreOffice Calc 中打开。 第2个当前上下文：NetIncome.xlsx 已在 LibreOffice Calc 中打开。 当前请求要求在同一轮工作中得到多个结果。能够支持这些结果的完整必需记忆如下：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IncomeStatement2.xlsx 中，以实际销售额扣除折扣、折让、材料费、人工费和管理费用得到 Gross profit；再在 Sheet2 的 Year_Profit 列中把年份、下划线和毛利整数部分拼接起来；2）在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241" s="39" t="str">
        <x:v>本题总分为 1.00 分，各得分点独立累计，允许语义等价表达，不要求模型输出记忆 ID，也不要求逐字复述记忆原文。
第1个得分点（0.45分）：在 IncomeStatement2.xlsx 中，以实际销售额扣除折扣、折让、材料费、人工费和管理费用得到 Gross profit；再在 Sheet2 的 Year_Profit 列中把年份、下划线和毛利整数部分拼接起来。该得分点所依据的完整证据为：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第1条记忆（长期/知识）：在 IncomeStatement2.xlsx 中，以实际销售额扣除折扣、折让、材料费、人工费和管理费用得到 Gross profit；再在 Sheet2 的 Year_Profit 列中把年份、下划线和毛利整数部分拼接起来。关键约束：毛利必须扣除题目列出的全部费用；Year_Profit 使用年份_毛利整数的格式。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241" s="50" t="str">
        <x:v>not_pass</x:v>
      </x:c>
      <x:c r="AG241" s="50" t="n">
        <x:v>0</x:v>
      </x:c>
    </x:row>
    <x:row r="242" ht="216" customHeight="1">
      <x:c r="A242" s="35" t="str">
        <x:v>V3_CM07_Q01</x:v>
      </x:c>
      <x:c r="B242" s="36" t="str">
        <x:v>SG_COMP_CM07</x:v>
      </x:c>
      <x:c r="C242" s="36" t="str">
        <x:v>CM07</x:v>
      </x:c>
      <x:c r="D242" s="36" t="str">
        <x:v>资产变化与期间利率</x:v>
      </x:c>
      <x:c r="E242" s="36" t="str">
        <x:v>complementary_multi_memory</x:v>
      </x:c>
      <x:c r="F242" s="36" t="str">
        <x:v>human_context_explicit</x:v>
      </x:c>
      <x:c r="G242" s="36" t="str">
        <x:v>challenge</x:v>
      </x:c>
      <x:c r="H242" s="36" t="str">
        <x:v>困难</x:v>
      </x:c>
      <x:c r="I242" s="36" t="str">
        <x:v>04d9aeaf-7bed-4024-bedb-e10e6f00eb7f|21ab7b40-77c2-4ae6-8321-e00d3a086c73</x:v>
      </x:c>
      <x:c r="J242" s="36" t="str">
        <x:v>CTX_04d9aeaf-7bed-4024-bedb-e10e6f00eb7f|CTX_21ab7b40-77c2-4ae6-8321-e00d3a086c73</x:v>
      </x:c>
      <x:c r="K242" s="36" t="str">
        <x:v>STM_04d9aeaf-7bed-4024-bedb-e10e6f00eb7f|LTM_21ab7b40-77c2-4ae6-8321-e00d3a086c73</x:v>
      </x:c>
      <x:c r="L242" s="36" t="str"/>
      <x:c r="M242" s="36" t="str"/>
      <x:c r="N242" s="36" t="str">
        <x:v>知识</x:v>
      </x:c>
      <x:c r="O242" s="36" t="str">
        <x:v>短期|长期</x:v>
      </x:c>
      <x:c r="P242" s="36" t="str">
        <x:v>["libreoffice_calc"]</x:v>
      </x:c>
      <x:c r="Q242" s="36" t="str">
        <x:v>[{"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x:v>
      </x:c>
      <x:c r="R242" s="36" t="str">
        <x:v>[]</x:v>
      </x:c>
      <x:c r="S242" s="36" t="str">
        <x:v>calculate_asset_year_over_year_changes|calculate_period_rate_and_highlight_max</x:v>
      </x:c>
      <x:c r="T242" s="36" t="str">
        <x:v>SmallBalanceSheet.xlsx|PeriodRate.xlsx</x:v>
      </x:c>
      <x:c r="U242" s="36" t="str">
        <x:v>retrieve_and_synthesize</x:v>
      </x:c>
      <x:c r="V242" s="36" t="str">
        <x:v>[{"point_id":"P1","description":"在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x:v>
      </x:c>
      <x:c r="W242" s="36" t="str">
        <x:v>1.00</x:v>
      </x:c>
      <x:c r="X242" s="39" t="str">
        <x:v>我今天要一起处理这批表。先做第1件事：在 SmallBalanceSheet.xlsx 新建 Sheet2，设置 Year、CA changes、FA changes、OA changes 四个表头，计算 2015 至 2019 年流动资产、固定资产和其他资产相对上一年的年度百分比变化；再做第2件事：在 PeriodRate.xlsx 新增 Period Rate (%) 列计算各行期间利率，将结果转换为数值类型，并把最高值的字体设为绿色 #00ff00。都按各自原来的规则完成。</x:v>
      </x:c>
      <x:c r="Y242"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x:v>
      </x:c>
      <x:c r="Z242" s="39" t="str">
        <x:v>不适用：当前题目不存在需要用户进一步选择的候选记忆。</x:v>
      </x:c>
      <x:c r="AA242" s="39" t="str">
        <x:v>不适用：当前题目没有指定需要排除的冲突或禁止记忆。</x:v>
      </x:c>
      <x:c r="AB242" s="39" t="str">
        <x:v>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C242"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x:v>
      </x:c>
      <x:c r="AD242" s="39" t="str">
        <x:v>用户的完整请求是：“我今天要一起处理这批表。先做第1件事：在 SmallBalanceSheet.xlsx 新建 Sheet2，设置 Year、CA changes、FA changes、OA changes 四个表头，计算 2015 至 2019 年流动资产、固定资产和其他资产相对上一年的年度百分比变化；再做第2件事：在 PeriodRate.xlsx 新增 Period Rate (%) 列计算各行期间利率，将结果转换为数值类型，并把最高值的字体设为绿色 #00ff00。都按各自原来的规则完成。”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E242" s="39" t="str">
        <x:v>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242" s="50" t="str">
        <x:v>not_pass</x:v>
      </x:c>
      <x:c r="AG242" s="50" t="n">
        <x:v>0</x:v>
      </x:c>
    </x:row>
    <x:row r="243" ht="216" customHeight="1">
      <x:c r="A243" s="35" t="str">
        <x:v>V3_CM07_Q02</x:v>
      </x:c>
      <x:c r="B243" s="36" t="str">
        <x:v>SG_COMP_CM07</x:v>
      </x:c>
      <x:c r="C243" s="36" t="str">
        <x:v>CM07</x:v>
      </x:c>
      <x:c r="D243" s="36" t="str">
        <x:v>资产变化与期间利率</x:v>
      </x:c>
      <x:c r="E243" s="36" t="str">
        <x:v>complementary_multi_memory</x:v>
      </x:c>
      <x:c r="F243" s="36" t="str">
        <x:v>human_goal_oriented</x:v>
      </x:c>
      <x:c r="G243" s="36" t="str">
        <x:v>challenge</x:v>
      </x:c>
      <x:c r="H243" s="36" t="str">
        <x:v>困难</x:v>
      </x:c>
      <x:c r="I243" s="36" t="str">
        <x:v>04d9aeaf-7bed-4024-bedb-e10e6f00eb7f|21ab7b40-77c2-4ae6-8321-e00d3a086c73</x:v>
      </x:c>
      <x:c r="J243" s="36" t="str">
        <x:v>CTX_04d9aeaf-7bed-4024-bedb-e10e6f00eb7f|CTX_21ab7b40-77c2-4ae6-8321-e00d3a086c73</x:v>
      </x:c>
      <x:c r="K243" s="36" t="str">
        <x:v>STM_04d9aeaf-7bed-4024-bedb-e10e6f00eb7f|LTM_21ab7b40-77c2-4ae6-8321-e00d3a086c73</x:v>
      </x:c>
      <x:c r="L243" s="36" t="str"/>
      <x:c r="M243" s="36" t="str"/>
      <x:c r="N243" s="36" t="str">
        <x:v>知识</x:v>
      </x:c>
      <x:c r="O243" s="36" t="str">
        <x:v>短期|长期</x:v>
      </x:c>
      <x:c r="P243" s="36" t="str">
        <x:v>["libreoffice_calc"]</x:v>
      </x:c>
      <x:c r="Q243" s="36" t="str">
        <x:v>[{"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x:v>
      </x:c>
      <x:c r="R243" s="36" t="str">
        <x:v>[]</x:v>
      </x:c>
      <x:c r="S243" s="36" t="str">
        <x:v>calculate_asset_year_over_year_changes|calculate_period_rate_and_highlight_max</x:v>
      </x:c>
      <x:c r="T243" s="36" t="str">
        <x:v>SmallBalanceSheet.xlsx|PeriodRate.xlsx</x:v>
      </x:c>
      <x:c r="U243" s="36" t="str">
        <x:v>retrieve_and_synthesize</x:v>
      </x:c>
      <x:c r="V243" s="36" t="str">
        <x:v>[{"point_id":"P1","description":"在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x:v>
      </x:c>
      <x:c r="W243" s="36" t="str">
        <x:v>1.00</x:v>
      </x:c>
      <x:c r="X243" s="39" t="str">
        <x:v>这批文件马上要交付，帮我把几项工作一起收尾：第1件：在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x:v>
      </x:c>
      <x:c r="Y243"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x:v>
      </x:c>
      <x:c r="Z243" s="39" t="str">
        <x:v>不适用：当前题目不存在需要用户进一步选择的候选记忆。</x:v>
      </x:c>
      <x:c r="AA243" s="39" t="str">
        <x:v>不适用：当前题目没有指定需要排除的冲突或禁止记忆。</x:v>
      </x:c>
      <x:c r="AB243" s="39" t="str">
        <x:v>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C243"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x:v>
      </x:c>
      <x:c r="AD243" s="39" t="str">
        <x:v>用户的完整请求是：“这批文件马上要交付，帮我把几项工作一起收尾：第1件：在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E243" s="39" t="str">
        <x:v>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243" s="50" t="str">
        <x:v>not_pass</x:v>
      </x:c>
      <x:c r="AG243" s="50" t="n">
        <x:v>0</x:v>
      </x:c>
    </x:row>
    <x:row r="244" ht="216" customHeight="1">
      <x:c r="A244" s="35" t="str">
        <x:v>V3_CM07_Q03</x:v>
      </x:c>
      <x:c r="B244" s="36" t="str">
        <x:v>SG_COMP_CM07</x:v>
      </x:c>
      <x:c r="C244" s="36" t="str">
        <x:v>CM07</x:v>
      </x:c>
      <x:c r="D244" s="36" t="str">
        <x:v>资产变化与期间利率</x:v>
      </x:c>
      <x:c r="E244" s="36" t="str">
        <x:v>complementary_multi_memory</x:v>
      </x:c>
      <x:c r="F244" s="36" t="str">
        <x:v>contextual_ellipsis</x:v>
      </x:c>
      <x:c r="G244" s="36" t="str">
        <x:v>challenge</x:v>
      </x:c>
      <x:c r="H244" s="36" t="str">
        <x:v>困难</x:v>
      </x:c>
      <x:c r="I244" s="36" t="str">
        <x:v>04d9aeaf-7bed-4024-bedb-e10e6f00eb7f|21ab7b40-77c2-4ae6-8321-e00d3a086c73</x:v>
      </x:c>
      <x:c r="J244" s="36" t="str">
        <x:v>CTX_04d9aeaf-7bed-4024-bedb-e10e6f00eb7f|CTX_21ab7b40-77c2-4ae6-8321-e00d3a086c73</x:v>
      </x:c>
      <x:c r="K244" s="36" t="str">
        <x:v>STM_04d9aeaf-7bed-4024-bedb-e10e6f00eb7f|LTM_21ab7b40-77c2-4ae6-8321-e00d3a086c73</x:v>
      </x:c>
      <x:c r="L244" s="36" t="str"/>
      <x:c r="M244" s="36" t="str"/>
      <x:c r="N244" s="36" t="str">
        <x:v>知识</x:v>
      </x:c>
      <x:c r="O244" s="36" t="str">
        <x:v>短期|长期</x:v>
      </x:c>
      <x:c r="P244" s="36" t="str">
        <x:v>["libreoffice_calc"]</x:v>
      </x:c>
      <x:c r="Q244" s="36" t="str">
        <x:v>[{"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x:v>
      </x:c>
      <x:c r="R244" s="36" t="str">
        <x:v>[]</x:v>
      </x:c>
      <x:c r="S244" s="36" t="str">
        <x:v>calculate_asset_year_over_year_changes|calculate_period_rate_and_highlight_max</x:v>
      </x:c>
      <x:c r="T244" s="36" t="str">
        <x:v>SmallBalanceSheet.xlsx|PeriodRate.xlsx</x:v>
      </x:c>
      <x:c r="U244" s="36" t="str">
        <x:v>retrieve_and_synthesize</x:v>
      </x:c>
      <x:c r="V244" s="36" t="str">
        <x:v>[{"point_id":"P1","description":"在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x:v>
      </x:c>
      <x:c r="W244" s="36" t="str">
        <x:v>1.00</x:v>
      </x:c>
      <x:c r="X244" s="39" t="str">
        <x:v>相关工作表我都打开了，接着分别处理：第1件：在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x:v>
      </x:c>
      <x:c r="Y244"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x:v>
      </x:c>
      <x:c r="Z244" s="39" t="str">
        <x:v>不适用：当前题目不存在需要用户进一步选择的候选记忆。</x:v>
      </x:c>
      <x:c r="AA244" s="39" t="str">
        <x:v>不适用：当前题目没有指定需要排除的冲突或禁止记忆。</x:v>
      </x:c>
      <x:c r="AB244" s="39" t="str">
        <x:v>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C244"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x:v>
      </x:c>
      <x:c r="AD244" s="39" t="str">
        <x:v>用户的完整请求是：“相关工作表我都打开了，接着分别处理：第1件：在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E244" s="39" t="str">
        <x:v>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244" s="50" t="str">
        <x:v>not_pass</x:v>
      </x:c>
      <x:c r="AG244" s="50" t="n">
        <x:v>0</x:v>
      </x:c>
    </x:row>
    <x:row r="245" ht="216" customHeight="1">
      <x:c r="A245" s="35" t="str">
        <x:v>V3_CM07_Q04</x:v>
      </x:c>
      <x:c r="B245" s="36" t="str">
        <x:v>SG_COMP_CM07</x:v>
      </x:c>
      <x:c r="C245" s="36" t="str">
        <x:v>CM07</x:v>
      </x:c>
      <x:c r="D245" s="36" t="str">
        <x:v>资产变化与期间利率</x:v>
      </x:c>
      <x:c r="E245" s="36" t="str">
        <x:v>complementary_multi_memory</x:v>
      </x:c>
      <x:c r="F245" s="36" t="str">
        <x:v>low_overlap_paraphrase</x:v>
      </x:c>
      <x:c r="G245" s="36" t="str">
        <x:v>challenge</x:v>
      </x:c>
      <x:c r="H245" s="36" t="str">
        <x:v>困难</x:v>
      </x:c>
      <x:c r="I245" s="36" t="str">
        <x:v>04d9aeaf-7bed-4024-bedb-e10e6f00eb7f|21ab7b40-77c2-4ae6-8321-e00d3a086c73</x:v>
      </x:c>
      <x:c r="J245" s="36" t="str">
        <x:v>CTX_04d9aeaf-7bed-4024-bedb-e10e6f00eb7f|CTX_21ab7b40-77c2-4ae6-8321-e00d3a086c73</x:v>
      </x:c>
      <x:c r="K245" s="36" t="str">
        <x:v>STM_04d9aeaf-7bed-4024-bedb-e10e6f00eb7f|LTM_21ab7b40-77c2-4ae6-8321-e00d3a086c73</x:v>
      </x:c>
      <x:c r="L245" s="36" t="str"/>
      <x:c r="M245" s="36" t="str"/>
      <x:c r="N245" s="36" t="str">
        <x:v>知识</x:v>
      </x:c>
      <x:c r="O245" s="36" t="str">
        <x:v>短期|长期</x:v>
      </x:c>
      <x:c r="P245" s="36" t="str">
        <x:v>["libreoffice_calc"]</x:v>
      </x:c>
      <x:c r="Q245" s="36" t="str">
        <x:v>[{"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x:v>
      </x:c>
      <x:c r="R245" s="36" t="str">
        <x:v>[]</x:v>
      </x:c>
      <x:c r="S245" s="36" t="str">
        <x:v>calculate_asset_year_over_year_changes|calculate_period_rate_and_highlight_max</x:v>
      </x:c>
      <x:c r="T245" s="36" t="str">
        <x:v>SmallBalanceSheet.xlsx|PeriodRate.xlsx</x:v>
      </x:c>
      <x:c r="U245" s="36" t="str">
        <x:v>retrieve_and_synthesize</x:v>
      </x:c>
      <x:c r="V245" s="36" t="str">
        <x:v>[{"point_id":"P1","description":"在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x:v>
      </x:c>
      <x:c r="W245" s="36" t="str">
        <x:v>1.00</x:v>
      </x:c>
      <x:c r="X245" s="39" t="str">
        <x:v>我想一次把这批工作做完：第1件：在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#00ff00。不同文件的规则别串在一起。</x:v>
      </x:c>
      <x:c r="Y245"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x:v>
      </x:c>
      <x:c r="Z245" s="39" t="str">
        <x:v>不适用：当前题目不存在需要用户进一步选择的候选记忆。</x:v>
      </x:c>
      <x:c r="AA245" s="39" t="str">
        <x:v>不适用：当前题目没有指定需要排除的冲突或禁止记忆。</x:v>
      </x:c>
      <x:c r="AB245" s="39" t="str">
        <x:v>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C245"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x:v>
      </x:c>
      <x:c r="AD245" s="39" t="str">
        <x:v>用户的完整请求是：“我想一次把这批工作做完：第1件：在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#00ff00。不同文件的规则别串在一起。”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E245" s="39" t="str">
        <x:v>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245" s="50" t="str">
        <x:v>not_pass</x:v>
      </x:c>
      <x:c r="AG245" s="50" t="n">
        <x:v>0</x:v>
      </x:c>
    </x:row>
    <x:row r="246" ht="216" customHeight="1">
      <x:c r="A246" s="35" t="str">
        <x:v>V3_CM07_Q05</x:v>
      </x:c>
      <x:c r="B246" s="36" t="str">
        <x:v>SG_COMP_CM07</x:v>
      </x:c>
      <x:c r="C246" s="36" t="str">
        <x:v>CM07</x:v>
      </x:c>
      <x:c r="D246" s="36" t="str">
        <x:v>资产变化与期间利率</x:v>
      </x:c>
      <x:c r="E246" s="36" t="str">
        <x:v>complementary_multi_memory</x:v>
      </x:c>
      <x:c r="F246" s="36" t="str">
        <x:v>human_constraint_emphasis</x:v>
      </x:c>
      <x:c r="G246" s="36" t="str">
        <x:v>challenge</x:v>
      </x:c>
      <x:c r="H246" s="36" t="str">
        <x:v>困难</x:v>
      </x:c>
      <x:c r="I246" s="36" t="str">
        <x:v>04d9aeaf-7bed-4024-bedb-e10e6f00eb7f|21ab7b40-77c2-4ae6-8321-e00d3a086c73</x:v>
      </x:c>
      <x:c r="J246" s="36" t="str">
        <x:v>CTX_04d9aeaf-7bed-4024-bedb-e10e6f00eb7f|CTX_21ab7b40-77c2-4ae6-8321-e00d3a086c73</x:v>
      </x:c>
      <x:c r="K246" s="36" t="str">
        <x:v>STM_04d9aeaf-7bed-4024-bedb-e10e6f00eb7f|LTM_21ab7b40-77c2-4ae6-8321-e00d3a086c73</x:v>
      </x:c>
      <x:c r="L246" s="36" t="str"/>
      <x:c r="M246" s="36" t="str"/>
      <x:c r="N246" s="36" t="str">
        <x:v>知识</x:v>
      </x:c>
      <x:c r="O246" s="36" t="str">
        <x:v>短期|长期</x:v>
      </x:c>
      <x:c r="P246" s="36" t="str">
        <x:v>["libreoffice_calc"]</x:v>
      </x:c>
      <x:c r="Q246" s="36" t="str">
        <x:v>[{"step_id":"S1","app":"libreoffice_calc","action_key":"calculate_asset_year_over_year_changes","input_artifacts":["SmallBalanceSheet.xlsx"],"output_artifacts":["SmallBalanceSheet.xlsx"],"depends_on":[]},{"step_id":"S2","app":"libreoffice_calc","action_key":"calculate_period_rate_and_highlight_max","input_artifacts":["PeriodRate.xlsx"],"output_artifacts":["PeriodRate.xlsx"],"depends_on":[]}]</x:v>
      </x:c>
      <x:c r="R246" s="36" t="str">
        <x:v>[]</x:v>
      </x:c>
      <x:c r="S246" s="36" t="str">
        <x:v>calculate_asset_year_over_year_changes|calculate_period_rate_and_highlight_max</x:v>
      </x:c>
      <x:c r="T246" s="36" t="str">
        <x:v>SmallBalanceSheet.xlsx|PeriodRate.xlsx</x:v>
      </x:c>
      <x:c r="U246" s="36" t="str">
        <x:v>retrieve_and_synthesize</x:v>
      </x:c>
      <x:c r="V246" s="36" t="str">
        <x:v>[{"point_id":"P1","description":"在 SmallBalanceSheet.xlsx 新建 Sheet2，设置 Year、CA changes、FA changes、OA changes 四个表头，计算 2015 至 2019 年流动资产、固定资产和其他资产相对上一年的年度百分比变化。","weight":0.45,"evidence_memory_ids":["STM_04d9aeaf-7bed-4024-bedb-e10e6f00eb7f"]},{"point_id":"P2","description":"在 PeriodRate.xlsx 新增 Period Rate (%) 列计算各行期间利率，将结果转换为数值类型，并把最高值的字体设为绿色 #00ff00。","weight":0.45,"evidence_memory_ids":["LTM_21ab7b40-77c2-4ae6-8321-e00d3a086c73"]},{"point_id":"P3","description":"各文件和各步骤的规则不串用，不增加无来源操作","weight":0.1,"evidence_memory_ids":["STM_04d9aeaf-7bed-4024-bedb-e10e6f00eb7f","LTM_21ab7b40-77c2-4ae6-8321-e00d3a086c73"]}]</x:v>
      </x:c>
      <x:c r="W246" s="36" t="str">
        <x:v>1.00</x:v>
      </x:c>
      <x:c r="X246" s="39" t="str">
        <x:v>这次按文件分别处理，要求如下：第1件：在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x:v>
      </x:c>
      <x:c r="Y246" s="39" t="str">
        <x:v>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x:v>
      </x:c>
      <x:c r="Z246" s="39" t="str">
        <x:v>不适用：当前题目不存在需要用户进一步选择的候选记忆。</x:v>
      </x:c>
      <x:c r="AA246" s="39" t="str">
        <x:v>不适用：当前题目没有指定需要排除的冲突或禁止记忆。</x:v>
      </x:c>
      <x:c r="AB246" s="39" t="str">
        <x:v>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C246" s="39" t="str">
        <x:v>第1项实际操作：在 SmallBalanceSheet.xlsx 新建 Sheet2，设置 Year、CA changes、FA changes、OA changes 四个表头，计算 2015 至 2019 年流动资产、固定资产和其他资产相对上一年的年度百分比变化。执行时必须满足：结果放入新建 Sheet2；表头名称保持指定值；比较基准为上一年。 第2项实际操作：在 PeriodRate.xlsx 新增 Period Rate (%) 列计算各行期间利率，将结果转换为数值类型，并把最高值的字体设为绿色 #00ff00。执行时必须满足：列名为 Period Rate (%)；结果必须为数值；仅最高值使用绿色字体 #00ff00。</x:v>
      </x:c>
      <x:c r="AD246" s="39" t="str">
        <x:v>用户的完整请求是：“这次按文件分别处理，要求如下：第1件：在 SmallBalanceSheet.xlsx 新建 Sheet2，设置 Year、CA changes、FA changes、OA changes 四个表头，计算 2015 至 2019 年流动资产、固定资产和其他资产相对上一年的年度百分比变化；第2件：在 PeriodRate.xlsx 新增 Period Rate (%) 列计算各行期间利率，将结果转换为数值类型，并把最高值的字体设为绿色 #00ff00。” 第1个当前上下文：SmallBalanceSheet.xlsx 已在 LibreOffice Calc 中打开。 第2个当前上下文：PeriodRate.xlsx 已在 LibreOffice Calc 中打开。 当前请求要求在同一轮工作中得到多个结果。能够支持这些结果的完整必需记忆如下：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SmallBalanceSheet.xlsx 新建 Sheet2，设置 Year、CA changes、FA changes、OA changes 四个表头，计算 2015 至 2019 年流动资产、固定资产和其他资产相对上一年的年度百分比变化；2）在 PeriodRate.xlsx 新增 Period Rate (%) 列计算各行期间利率，将结果转换为数值类型，并把最高值的字体设为绿色 #00ff00。每项操作必须分别遵守其对应文件、工作表、范围、格式和输出约束，不能用其中一项替代另一项，也不能把不同文件的规则混用。”</x:v>
      </x:c>
      <x:c r="AE246" s="39" t="str">
        <x:v>本题总分为 1.00 分，各得分点独立累计，允许语义等价表达，不要求模型输出记忆 ID，也不要求逐字复述记忆原文。
第1个得分点（0.45分）：在 SmallBalanceSheet.xlsx 新建 Sheet2，设置 Year、CA changes、FA changes、OA changes 四个表头，计算 2015 至 2019 年流动资产、固定资产和其他资产相对上一年的年度百分比变化。该得分点所依据的完整证据为：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第2个得分点（0.45分）：在 PeriodRate.xlsx 新增 Period Rate (%) 列计算各行期间利率，将结果转换为数值类型，并把最高值的字体设为绿色 #00ff00。该得分点所依据的完整证据为：
第1条记忆（长期/知识）：在 PeriodRate.xlsx 新增 Period Rate (%) 列计算各行期间利率，将结果转换为数值类型，并把最高值的字体设为绿色 #00ff00。关键约束：列名为 Period Rate (%)；结果必须为数值；仅最高值使用绿色字体 #00ff00。
第3个得分点（0.10分）：各文件和各步骤的规则不串用，不增加无来源操作。该得分点所依据的完整证据为：
第1条记忆（短期/知识）：在 SmallBalanceSheet.xlsx 新建 Sheet2，设置 Year、CA changes、FA changes、OA changes 四个表头，计算 2015 至 2019 年流动资产、固定资产和其他资产相对上一年的年度百分比变化。关键约束：结果放入新建 Sheet2；表头名称保持指定值；比较基准为上一年。
第2条记忆（长期/知识）：在 PeriodRate.xlsx 新增 Period Rate (%) 列计算各行期间利率，将结果转换为数值类型，并把最高值的字体设为绿色 #00ff00。关键约束：列名为 Period Rate (%)；结果必须为数值；仅最高值使用绿色字体 #00ff00。
人工复审时，应依据模型最终给出的信息和实际操作是否满足上述每个得分点分别给分；只命中记忆 ID 但没有形成对应结论不能获得该结论分，形成了正确结论但表达方式不同则不应扣分。</x:v>
      </x:c>
      <x:c r="AF246" s="50" t="str">
        <x:v>not_pass</x:v>
      </x:c>
      <x:c r="AG246" s="50" t="n">
        <x:v>0</x:v>
      </x:c>
    </x:row>
    <x:row r="247" ht="202.5" customHeight="1">
      <x:c r="A247" s="35" t="str">
        <x:v>V3_CM08_Q01</x:v>
      </x:c>
      <x:c r="B247" s="36" t="str">
        <x:v>SG_COMP_CM08</x:v>
      </x:c>
      <x:c r="C247" s="36" t="str">
        <x:v>CM08</x:v>
      </x:c>
      <x:c r="D247" s="36" t="str">
        <x:v>投资摘要与收入明细</x:v>
      </x:c>
      <x:c r="E247" s="36" t="str">
        <x:v>complementary_multi_memory</x:v>
      </x:c>
      <x:c r="F247" s="36" t="str">
        <x:v>human_context_explicit</x:v>
      </x:c>
      <x:c r="G247" s="36" t="str">
        <x:v>challenge</x:v>
      </x:c>
      <x:c r="H247" s="36" t="str">
        <x:v>困难</x:v>
      </x:c>
      <x:c r="I247" s="36" t="str">
        <x:v>1d17d234-e39d-4ed7-b46f-4417922a4e7c|1273e544-688f-496b-8d89-3e0f40aa0606</x:v>
      </x:c>
      <x:c r="J247" s="36" t="str">
        <x:v>CTX_1d17d234-e39d-4ed7-b46f-4417922a4e7c|CTX_1273e544-688f-496b-8d89-3e0f40aa0606</x:v>
      </x:c>
      <x:c r="K247" s="36" t="str">
        <x:v>LTM_1d17d234-e39d-4ed7-b46f-4417922a4e7c|LTM_1273e544-688f-496b-8d89-3e0f40aa0606</x:v>
      </x:c>
      <x:c r="L247" s="36" t="str"/>
      <x:c r="M247" s="36" t="str"/>
      <x:c r="N247" s="36" t="str">
        <x:v>可复用模板|工作流程</x:v>
      </x:c>
      <x:c r="O247" s="36" t="str">
        <x:v>长期</x:v>
      </x:c>
      <x:c r="P247" s="36" t="str">
        <x:v>["libreoffice_calc"]</x:v>
      </x:c>
      <x:c r="Q247" s="36" t="str">
        <x:v>[{"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x:v>
      </x:c>
      <x:c r="R247" s="36" t="str">
        <x:v>[]</x:v>
      </x:c>
      <x:c r="S247" s="36" t="str">
        <x:v>build_investment_summary_header_layout|copy_revenue_column_to_sheet2</x:v>
      </x:c>
      <x:c r="T247" s="36" t="str">
        <x:v>FutureValue.xlsx|NetIncome.xlsx</x:v>
      </x:c>
      <x:c r="U247" s="36" t="str">
        <x:v>retrieve_and_synthesize</x:v>
      </x:c>
      <x:c r="V247" s="36" t="str">
        <x:v>[{"point_id":"P1","description":"在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x:v>
      </x:c>
      <x:c r="W247" s="36" t="str">
        <x:v>1.00</x:v>
      </x:c>
      <x:c r="X247" s="39" t="str">
        <x:v>我今天要一起处理这批表。先做第1件事：在 FutureValue.xlsx 新建 Sheet2，合并 A1:C1 写入 Investment Summary；合并 A2:B2 写入 High Interest Rate；合并 C2:D2 写入 Low Interest Rate；再做第2件事：把 NetIncome.xlsx 中 Revenue 列连同表头完整复制到新建的 Sheet2。都按各自原来的规则完成。</x:v>
      </x:c>
      <x:c r="Y247"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x:v>
      </x:c>
      <x:c r="Z247" s="39" t="str">
        <x:v>不适用：当前题目不存在需要用户进一步选择的候选记忆。</x:v>
      </x:c>
      <x:c r="AA247" s="39" t="str">
        <x:v>不适用：当前题目没有指定需要排除的冲突或禁止记忆。</x:v>
      </x:c>
      <x:c r="AB247" s="39" t="str">
        <x:v>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C247"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x:v>
      </x:c>
      <x:c r="AD247" s="39" t="str">
        <x:v>用户的完整请求是：“我今天要一起处理这批表。先做第1件事：在 FutureValue.xlsx 新建 Sheet2，合并 A1:C1 写入 Investment Summary；合并 A2:B2 写入 High Interest Rate；合并 C2:D2 写入 Low Interest Rate；再做第2件事：把 NetIncome.xlsx 中 Revenue 列连同表头完整复制到新建的 Sheet2。都按各自原来的规则完成。”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E247"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247" s="50" t="str">
        <x:v>not_pass</x:v>
      </x:c>
      <x:c r="AG247" s="50" t="n">
        <x:v>0</x:v>
      </x:c>
    </x:row>
    <x:row r="248" ht="202.5" customHeight="1">
      <x:c r="A248" s="35" t="str">
        <x:v>V3_CM08_Q02</x:v>
      </x:c>
      <x:c r="B248" s="36" t="str">
        <x:v>SG_COMP_CM08</x:v>
      </x:c>
      <x:c r="C248" s="36" t="str">
        <x:v>CM08</x:v>
      </x:c>
      <x:c r="D248" s="36" t="str">
        <x:v>投资摘要与收入明细</x:v>
      </x:c>
      <x:c r="E248" s="36" t="str">
        <x:v>complementary_multi_memory</x:v>
      </x:c>
      <x:c r="F248" s="36" t="str">
        <x:v>human_goal_oriented</x:v>
      </x:c>
      <x:c r="G248" s="36" t="str">
        <x:v>challenge</x:v>
      </x:c>
      <x:c r="H248" s="36" t="str">
        <x:v>困难</x:v>
      </x:c>
      <x:c r="I248" s="36" t="str">
        <x:v>1d17d234-e39d-4ed7-b46f-4417922a4e7c|1273e544-688f-496b-8d89-3e0f40aa0606</x:v>
      </x:c>
      <x:c r="J248" s="36" t="str">
        <x:v>CTX_1d17d234-e39d-4ed7-b46f-4417922a4e7c|CTX_1273e544-688f-496b-8d89-3e0f40aa0606</x:v>
      </x:c>
      <x:c r="K248" s="36" t="str">
        <x:v>LTM_1d17d234-e39d-4ed7-b46f-4417922a4e7c|LTM_1273e544-688f-496b-8d89-3e0f40aa0606</x:v>
      </x:c>
      <x:c r="L248" s="36" t="str"/>
      <x:c r="M248" s="36" t="str"/>
      <x:c r="N248" s="36" t="str">
        <x:v>可复用模板|工作流程</x:v>
      </x:c>
      <x:c r="O248" s="36" t="str">
        <x:v>长期</x:v>
      </x:c>
      <x:c r="P248" s="36" t="str">
        <x:v>["libreoffice_calc"]</x:v>
      </x:c>
      <x:c r="Q248" s="36" t="str">
        <x:v>[{"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x:v>
      </x:c>
      <x:c r="R248" s="36" t="str">
        <x:v>[]</x:v>
      </x:c>
      <x:c r="S248" s="36" t="str">
        <x:v>build_investment_summary_header_layout|copy_revenue_column_to_sheet2</x:v>
      </x:c>
      <x:c r="T248" s="36" t="str">
        <x:v>FutureValue.xlsx|NetIncome.xlsx</x:v>
      </x:c>
      <x:c r="U248" s="36" t="str">
        <x:v>retrieve_and_synthesize</x:v>
      </x:c>
      <x:c r="V248" s="36" t="str">
        <x:v>[{"point_id":"P1","description":"在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x:v>
      </x:c>
      <x:c r="W248" s="36" t="str">
        <x:v>1.00</x:v>
      </x:c>
      <x:c r="X248" s="39" t="str">
        <x:v>这批文件马上要交付，帮我把几项工作一起收尾：第1件：在 FutureValue.xlsx 新建 Sheet2，合并 A1:C1 写入 Investment Summary；合并 A2:B2 写入 High Interest Rate；合并 C2:D2 写入 Low Interest Rate；第2件：把 NetIncome.xlsx 中 Revenue 列连同表头完整复制到新建的 Sheet2。</x:v>
      </x:c>
      <x:c r="Y248"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x:v>
      </x:c>
      <x:c r="Z248" s="39" t="str">
        <x:v>不适用：当前题目不存在需要用户进一步选择的候选记忆。</x:v>
      </x:c>
      <x:c r="AA248" s="39" t="str">
        <x:v>不适用：当前题目没有指定需要排除的冲突或禁止记忆。</x:v>
      </x:c>
      <x:c r="AB248" s="39" t="str">
        <x:v>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C248"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x:v>
      </x:c>
      <x:c r="AD248" s="39" t="str">
        <x:v>用户的完整请求是：“这批文件马上要交付，帮我把几项工作一起收尾：第1件：在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E248"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248" s="50" t="str">
        <x:v>not_pass</x:v>
      </x:c>
      <x:c r="AG248" s="50" t="n">
        <x:v>0</x:v>
      </x:c>
    </x:row>
    <x:row r="249" ht="202.5" customHeight="1">
      <x:c r="A249" s="35" t="str">
        <x:v>V3_CM08_Q03</x:v>
      </x:c>
      <x:c r="B249" s="36" t="str">
        <x:v>SG_COMP_CM08</x:v>
      </x:c>
      <x:c r="C249" s="36" t="str">
        <x:v>CM08</x:v>
      </x:c>
      <x:c r="D249" s="36" t="str">
        <x:v>投资摘要与收入明细</x:v>
      </x:c>
      <x:c r="E249" s="36" t="str">
        <x:v>complementary_multi_memory</x:v>
      </x:c>
      <x:c r="F249" s="36" t="str">
        <x:v>contextual_ellipsis</x:v>
      </x:c>
      <x:c r="G249" s="36" t="str">
        <x:v>challenge</x:v>
      </x:c>
      <x:c r="H249" s="36" t="str">
        <x:v>困难</x:v>
      </x:c>
      <x:c r="I249" s="36" t="str">
        <x:v>1d17d234-e39d-4ed7-b46f-4417922a4e7c|1273e544-688f-496b-8d89-3e0f40aa0606</x:v>
      </x:c>
      <x:c r="J249" s="36" t="str">
        <x:v>CTX_1d17d234-e39d-4ed7-b46f-4417922a4e7c|CTX_1273e544-688f-496b-8d89-3e0f40aa0606</x:v>
      </x:c>
      <x:c r="K249" s="36" t="str">
        <x:v>LTM_1d17d234-e39d-4ed7-b46f-4417922a4e7c|LTM_1273e544-688f-496b-8d89-3e0f40aa0606</x:v>
      </x:c>
      <x:c r="L249" s="36" t="str"/>
      <x:c r="M249" s="36" t="str"/>
      <x:c r="N249" s="36" t="str">
        <x:v>可复用模板|工作流程</x:v>
      </x:c>
      <x:c r="O249" s="36" t="str">
        <x:v>长期</x:v>
      </x:c>
      <x:c r="P249" s="36" t="str">
        <x:v>["libreoffice_calc"]</x:v>
      </x:c>
      <x:c r="Q249" s="36" t="str">
        <x:v>[{"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x:v>
      </x:c>
      <x:c r="R249" s="36" t="str">
        <x:v>[]</x:v>
      </x:c>
      <x:c r="S249" s="36" t="str">
        <x:v>build_investment_summary_header_layout|copy_revenue_column_to_sheet2</x:v>
      </x:c>
      <x:c r="T249" s="36" t="str">
        <x:v>FutureValue.xlsx|NetIncome.xlsx</x:v>
      </x:c>
      <x:c r="U249" s="36" t="str">
        <x:v>retrieve_and_synthesize</x:v>
      </x:c>
      <x:c r="V249" s="36" t="str">
        <x:v>[{"point_id":"P1","description":"在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x:v>
      </x:c>
      <x:c r="W249" s="36" t="str">
        <x:v>1.00</x:v>
      </x:c>
      <x:c r="X249" s="39" t="str">
        <x:v>相关工作表我都打开了，接着分别处理：第1件：在 FutureValue.xlsx 新建 Sheet2，合并 A1:C1 写入 Investment Summary；合并 A2:B2 写入 High Interest Rate；合并 C2:D2 写入 Low Interest Rate；第2件：把 NetIncome.xlsx 中 Revenue 列连同表头完整复制到新建的 Sheet2。</x:v>
      </x:c>
      <x:c r="Y249"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x:v>
      </x:c>
      <x:c r="Z249" s="39" t="str">
        <x:v>不适用：当前题目不存在需要用户进一步选择的候选记忆。</x:v>
      </x:c>
      <x:c r="AA249" s="39" t="str">
        <x:v>不适用：当前题目没有指定需要排除的冲突或禁止记忆。</x:v>
      </x:c>
      <x:c r="AB249" s="39" t="str">
        <x:v>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C249"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x:v>
      </x:c>
      <x:c r="AD249" s="39" t="str">
        <x:v>用户的完整请求是：“相关工作表我都打开了，接着分别处理：第1件：在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E249"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249" s="50" t="str">
        <x:v>not_pass</x:v>
      </x:c>
      <x:c r="AG249" s="50" t="n">
        <x:v>0</x:v>
      </x:c>
    </x:row>
    <x:row r="250" ht="202.5" customHeight="1">
      <x:c r="A250" s="35" t="str">
        <x:v>V3_CM08_Q04</x:v>
      </x:c>
      <x:c r="B250" s="36" t="str">
        <x:v>SG_COMP_CM08</x:v>
      </x:c>
      <x:c r="C250" s="36" t="str">
        <x:v>CM08</x:v>
      </x:c>
      <x:c r="D250" s="36" t="str">
        <x:v>投资摘要与收入明细</x:v>
      </x:c>
      <x:c r="E250" s="36" t="str">
        <x:v>complementary_multi_memory</x:v>
      </x:c>
      <x:c r="F250" s="36" t="str">
        <x:v>low_overlap_paraphrase</x:v>
      </x:c>
      <x:c r="G250" s="36" t="str">
        <x:v>challenge</x:v>
      </x:c>
      <x:c r="H250" s="36" t="str">
        <x:v>困难</x:v>
      </x:c>
      <x:c r="I250" s="36" t="str">
        <x:v>1d17d234-e39d-4ed7-b46f-4417922a4e7c|1273e544-688f-496b-8d89-3e0f40aa0606</x:v>
      </x:c>
      <x:c r="J250" s="36" t="str">
        <x:v>CTX_1d17d234-e39d-4ed7-b46f-4417922a4e7c|CTX_1273e544-688f-496b-8d89-3e0f40aa0606</x:v>
      </x:c>
      <x:c r="K250" s="36" t="str">
        <x:v>LTM_1d17d234-e39d-4ed7-b46f-4417922a4e7c|LTM_1273e544-688f-496b-8d89-3e0f40aa0606</x:v>
      </x:c>
      <x:c r="L250" s="36" t="str"/>
      <x:c r="M250" s="36" t="str"/>
      <x:c r="N250" s="36" t="str">
        <x:v>可复用模板|工作流程</x:v>
      </x:c>
      <x:c r="O250" s="36" t="str">
        <x:v>长期</x:v>
      </x:c>
      <x:c r="P250" s="36" t="str">
        <x:v>["libreoffice_calc"]</x:v>
      </x:c>
      <x:c r="Q250" s="36" t="str">
        <x:v>[{"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x:v>
      </x:c>
      <x:c r="R250" s="36" t="str">
        <x:v>[]</x:v>
      </x:c>
      <x:c r="S250" s="36" t="str">
        <x:v>build_investment_summary_header_layout|copy_revenue_column_to_sheet2</x:v>
      </x:c>
      <x:c r="T250" s="36" t="str">
        <x:v>FutureValue.xlsx|NetIncome.xlsx</x:v>
      </x:c>
      <x:c r="U250" s="36" t="str">
        <x:v>retrieve_and_synthesize</x:v>
      </x:c>
      <x:c r="V250" s="36" t="str">
        <x:v>[{"point_id":"P1","description":"在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x:v>
      </x:c>
      <x:c r="W250" s="36" t="str">
        <x:v>1.00</x:v>
      </x:c>
      <x:c r="X250" s="39" t="str">
        <x:v>我想一次把这批工作做完：第1件：在 FutureValue.xlsx 新建 Sheet2，合并 A1:C1 写入 Investment Summary；合并 A2:B2 写入 High Interest Rate；合并 C2:D2 写入 Low Interest Rate；第2件：把 NetIncome.xlsx 中 Revenue 列连同表头完整复制到新建的 Sheet2。不同文件的规则别串在一起。</x:v>
      </x:c>
      <x:c r="Y250"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x:v>
      </x:c>
      <x:c r="Z250" s="39" t="str">
        <x:v>不适用：当前题目不存在需要用户进一步选择的候选记忆。</x:v>
      </x:c>
      <x:c r="AA250" s="39" t="str">
        <x:v>不适用：当前题目没有指定需要排除的冲突或禁止记忆。</x:v>
      </x:c>
      <x:c r="AB250" s="39" t="str">
        <x:v>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C250"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x:v>
      </x:c>
      <x:c r="AD250" s="39" t="str">
        <x:v>用户的完整请求是：“我想一次把这批工作做完：第1件：在 FutureValue.xlsx 新建 Sheet2，合并 A1:C1 写入 Investment Summary；合并 A2:B2 写入 High Interest Rate；合并 C2:D2 写入 Low Interest Rate；第2件：把 NetIncome.xlsx 中 Revenue 列连同表头完整复制到新建的 Sheet2。不同文件的规则别串在一起。”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E250"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250" s="50" t="str">
        <x:v>not_pass</x:v>
      </x:c>
      <x:c r="AG250" s="50" t="n">
        <x:v>0</x:v>
      </x:c>
    </x:row>
    <x:row r="251" ht="202.5" customHeight="1">
      <x:c r="A251" s="35" t="str">
        <x:v>V3_CM08_Q05</x:v>
      </x:c>
      <x:c r="B251" s="36" t="str">
        <x:v>SG_COMP_CM08</x:v>
      </x:c>
      <x:c r="C251" s="36" t="str">
        <x:v>CM08</x:v>
      </x:c>
      <x:c r="D251" s="36" t="str">
        <x:v>投资摘要与收入明细</x:v>
      </x:c>
      <x:c r="E251" s="36" t="str">
        <x:v>complementary_multi_memory</x:v>
      </x:c>
      <x:c r="F251" s="36" t="str">
        <x:v>human_constraint_emphasis</x:v>
      </x:c>
      <x:c r="G251" s="36" t="str">
        <x:v>challenge</x:v>
      </x:c>
      <x:c r="H251" s="36" t="str">
        <x:v>困难</x:v>
      </x:c>
      <x:c r="I251" s="36" t="str">
        <x:v>1d17d234-e39d-4ed7-b46f-4417922a4e7c|1273e544-688f-496b-8d89-3e0f40aa0606</x:v>
      </x:c>
      <x:c r="J251" s="36" t="str">
        <x:v>CTX_1d17d234-e39d-4ed7-b46f-4417922a4e7c|CTX_1273e544-688f-496b-8d89-3e0f40aa0606</x:v>
      </x:c>
      <x:c r="K251" s="36" t="str">
        <x:v>LTM_1d17d234-e39d-4ed7-b46f-4417922a4e7c|LTM_1273e544-688f-496b-8d89-3e0f40aa0606</x:v>
      </x:c>
      <x:c r="L251" s="36" t="str"/>
      <x:c r="M251" s="36" t="str"/>
      <x:c r="N251" s="36" t="str">
        <x:v>可复用模板|工作流程</x:v>
      </x:c>
      <x:c r="O251" s="36" t="str">
        <x:v>长期</x:v>
      </x:c>
      <x:c r="P251" s="36" t="str">
        <x:v>["libreoffice_calc"]</x:v>
      </x:c>
      <x:c r="Q251" s="36" t="str">
        <x:v>[{"step_id":"S1","app":"libreoffice_calc","action_key":"build_investment_summary_header_layout","input_artifacts":["FutureValue.xlsx"],"output_artifacts":["FutureValue.xlsx"],"depends_on":[]},{"step_id":"S2","app":"libreoffice_calc","action_key":"copy_revenue_column_to_sheet2","input_artifacts":["NetIncome.xlsx"],"output_artifacts":["NetIncome.xlsx"],"depends_on":[]}]</x:v>
      </x:c>
      <x:c r="R251" s="36" t="str">
        <x:v>[]</x:v>
      </x:c>
      <x:c r="S251" s="36" t="str">
        <x:v>build_investment_summary_header_layout|copy_revenue_column_to_sheet2</x:v>
      </x:c>
      <x:c r="T251" s="36" t="str">
        <x:v>FutureValue.xlsx|NetIncome.xlsx</x:v>
      </x:c>
      <x:c r="U251" s="36" t="str">
        <x:v>retrieve_and_synthesize</x:v>
      </x:c>
      <x:c r="V251" s="36" t="str">
        <x:v>[{"point_id":"P1","description":"在 FutureValue.xlsx 新建 Sheet2，合并 A1:C1 写入 Investment Summary；合并 A2:B2 写入 High Interest Rate；合并 C2:D2 写入 Low Interest Rate。","weight":0.45,"evidence_memory_ids":["LTM_1d17d234-e39d-4ed7-b46f-4417922a4e7c"]},{"point_id":"P2","description":"把 NetIncome.xlsx 中 Revenue 列连同表头完整复制到新建的 Sheet2。","weight":0.45,"evidence_memory_ids":["LTM_1273e544-688f-496b-8d89-3e0f40aa0606"]},{"point_id":"P3","description":"各文件和各步骤的规则不串用，不增加无来源操作","weight":0.1,"evidence_memory_ids":["LTM_1d17d234-e39d-4ed7-b46f-4417922a4e7c","LTM_1273e544-688f-496b-8d89-3e0f40aa0606"]}]</x:v>
      </x:c>
      <x:c r="W251" s="36" t="str">
        <x:v>1.00</x:v>
      </x:c>
      <x:c r="X251" s="39" t="str">
        <x:v>这次按文件分别处理，要求如下：第1件：在 FutureValue.xlsx 新建 Sheet2，合并 A1:C1 写入 Investment Summary；合并 A2:B2 写入 High Interest Rate；合并 C2:D2 写入 Low Interest Rate；第2件：把 NetIncome.xlsx 中 Revenue 列连同表头完整复制到新建的 Sheet2。</x:v>
      </x:c>
      <x:c r="Y251"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x:v>
      </x:c>
      <x:c r="Z251" s="39" t="str">
        <x:v>不适用：当前题目不存在需要用户进一步选择的候选记忆。</x:v>
      </x:c>
      <x:c r="AA251" s="39" t="str">
        <x:v>不适用：当前题目没有指定需要排除的冲突或禁止记忆。</x:v>
      </x:c>
      <x:c r="AB251" s="39" t="str">
        <x:v>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C251"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第2项实际操作：把 NetIncome.xlsx 中 Revenue 列连同表头完整复制到新建的 Sheet2。执行时必须满足：必须包含 Revenue 表头；目标为新建 Sheet2；不进行求和或复制其他列。</x:v>
      </x:c>
      <x:c r="AD251" s="39" t="str">
        <x:v>用户的完整请求是：“这次按文件分别处理，要求如下：第1件：在 FutureValue.xlsx 新建 Sheet2，合并 A1:C1 写入 Investment Summary；合并 A2:B2 写入 High Interest Rate；合并 C2:D2 写入 Low Interest Rate；第2件：把 NetIncome.xlsx 中 Revenue 列连同表头完整复制到新建的 Sheet2。” 第1个当前上下文：FutureValue.xlsx 已在 LibreOffice Calc 中打开。 第2个当前上下文：NetIncome.xlsx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Rate；2）把 NetIncome.xlsx 中 Revenue 列连同表头完整复制到新建的 Sheet2。每项操作必须分别遵守其对应文件、工作表、范围、格式和输出约束，不能用其中一项替代另一项，也不能把不同文件的规则混用。”</x:v>
      </x:c>
      <x:c r="AE251"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第2条记忆（长期/工作流程）：把 NetIncome.xlsx 中 Revenue 列连同表头完整复制到新建的 Sheet2。关键约束：必须包含 Revenue 表头；目标为新建 Sheet2；不进行求和或复制其他列。
人工复审时，应依据模型最终给出的信息和实际操作是否满足上述每个得分点分别给分；只命中记忆 ID 但没有形成对应结论不能获得该结论分，形成了正确结论但表达方式不同则不应扣分。</x:v>
      </x:c>
      <x:c r="AF251" s="50" t="str">
        <x:v>not_pass</x:v>
      </x:c>
      <x:c r="AG251" s="50" t="n">
        <x:v>0</x:v>
      </x:c>
    </x:row>
    <x:row r="252" ht="202.5" customHeight="1">
      <x:c r="A252" s="35" t="str">
        <x:v>V3_CM09_Q01</x:v>
      </x:c>
      <x:c r="B252" s="36" t="str">
        <x:v>SG_COMP_CM09</x:v>
      </x:c>
      <x:c r="C252" s="36" t="str">
        <x:v>CM09</x:v>
      </x:c>
      <x:c r="D252" s="36" t="str">
        <x:v>CSV 与单页 PDF 交付</x:v>
      </x:c>
      <x:c r="E252" s="36" t="str">
        <x:v>complementary_multi_memory</x:v>
      </x:c>
      <x:c r="F252" s="36" t="str">
        <x:v>human_context_explicit</x:v>
      </x:c>
      <x:c r="G252" s="36" t="str">
        <x:v>challenge</x:v>
      </x:c>
      <x:c r="H252" s="36" t="str">
        <x:v>困难</x:v>
      </x:c>
      <x:c r="I252" s="36" t="str">
        <x:v>3aaa4e37-dc91-482e-99af-132a612d40f3|aa3a8974-2e85-438b-b29e-a64df44deb4b</x:v>
      </x:c>
      <x:c r="J252" s="36" t="str">
        <x:v>CTX_3aaa4e37-dc91-482e-99af-132a612d40f3|CTX_aa3a8974-2e85-438b-b29e-a64df44deb4b</x:v>
      </x:c>
      <x:c r="K252" s="36" t="str">
        <x:v>STM_3aaa4e37-dc91-482e-99af-132a612d40f3|STM_aa3a8974-2e85-438b-b29e-a64df44deb4b</x:v>
      </x:c>
      <x:c r="L252" s="36" t="str"/>
      <x:c r="M252" s="36" t="str"/>
      <x:c r="N252" s="36" t="str">
        <x:v>工作流程</x:v>
      </x:c>
      <x:c r="O252" s="36" t="str">
        <x:v>短期</x:v>
      </x:c>
      <x:c r="P252" s="36" t="str">
        <x:v>["libreoffice_calc"]</x:v>
      </x:c>
      <x:c r="Q252" s="36" t="str">
        <x:v>[{"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x:v>
      </x:c>
      <x:c r="R252" s="36" t="str">
        <x:v>[]</x:v>
      </x:c>
      <x:c r="S252" s="36" t="str">
        <x:v>export_current_sheet_to_csv|fit_sheet_to_one_page_and_export_pdf</x:v>
      </x:c>
      <x:c r="T252" s="36" t="str">
        <x:v>Export_Calc_to_CSV.xlsx|Resize_Cells_Fit_Page.xlsx</x:v>
      </x:c>
      <x:c r="U252" s="36" t="str">
        <x:v>retrieve_and_synthesize</x:v>
      </x:c>
      <x:c r="V252" s="36" t="str">
        <x:v>[{"point_id":"P1","description":"把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x:v>
      </x:c>
      <x:c r="W252" s="36" t="str">
        <x:v>1.00</x:v>
      </x:c>
      <x:c r="X252" s="39" t="str">
        <x:v>我今天要一起处理这批表。先做第1件事：把 Export_Calc_to_CSV.xlsx 当前工作表按屏幕显示内容导出为默认格式的 CSV，其他导出选项保持不变，CSV 与原 XLSX 使用相同的主文件名；再做第2件事：调整 Resize_Cells_Fit_Page.xlsx 的单元格和页面布局，使内容适合一页显示，然后导出为与原电子表格同名的 PDF，并保存到用户主目录。都按各自原来的规则完成。</x:v>
      </x:c>
      <x:c r="Y252"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52" s="39" t="str">
        <x:v>不适用：当前题目不存在需要用户进一步选择的候选记忆。</x:v>
      </x:c>
      <x:c r="AA252" s="39" t="str">
        <x:v>不适用：当前题目没有指定需要排除的冲突或禁止记忆。</x:v>
      </x:c>
      <x:c r="AB252" s="39" t="str">
        <x:v>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C252"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52" s="39" t="str">
        <x:v>用户的完整请求是：“我今天要一起处理这批表。先做第1件事：把 Export_Calc_to_CSV.xlsx 当前工作表按屏幕显示内容导出为默认格式的 CSV，其他导出选项保持不变，CSV 与原 XLSX 使用相同的主文件名；再做第2件事：调整 Resize_Cells_Fit_Page.xlsx 的单元格和页面布局，使内容适合一页显示，然后导出为与原电子表格同名的 PDF，并保存到用户主目录。都按各自原来的规则完成。”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E252" s="39" t="str">
        <x:v>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52" s="50" t="str">
        <x:v>not_pass</x:v>
      </x:c>
      <x:c r="AG252" s="50" t="n">
        <x:v>0</x:v>
      </x:c>
    </x:row>
    <x:row r="253" ht="202.5" customHeight="1">
      <x:c r="A253" s="35" t="str">
        <x:v>V3_CM09_Q02</x:v>
      </x:c>
      <x:c r="B253" s="36" t="str">
        <x:v>SG_COMP_CM09</x:v>
      </x:c>
      <x:c r="C253" s="36" t="str">
        <x:v>CM09</x:v>
      </x:c>
      <x:c r="D253" s="36" t="str">
        <x:v>CSV 与单页 PDF 交付</x:v>
      </x:c>
      <x:c r="E253" s="36" t="str">
        <x:v>complementary_multi_memory</x:v>
      </x:c>
      <x:c r="F253" s="36" t="str">
        <x:v>human_goal_oriented</x:v>
      </x:c>
      <x:c r="G253" s="36" t="str">
        <x:v>challenge</x:v>
      </x:c>
      <x:c r="H253" s="36" t="str">
        <x:v>困难</x:v>
      </x:c>
      <x:c r="I253" s="36" t="str">
        <x:v>3aaa4e37-dc91-482e-99af-132a612d40f3|aa3a8974-2e85-438b-b29e-a64df44deb4b</x:v>
      </x:c>
      <x:c r="J253" s="36" t="str">
        <x:v>CTX_3aaa4e37-dc91-482e-99af-132a612d40f3|CTX_aa3a8974-2e85-438b-b29e-a64df44deb4b</x:v>
      </x:c>
      <x:c r="K253" s="36" t="str">
        <x:v>STM_3aaa4e37-dc91-482e-99af-132a612d40f3|STM_aa3a8974-2e85-438b-b29e-a64df44deb4b</x:v>
      </x:c>
      <x:c r="L253" s="36" t="str"/>
      <x:c r="M253" s="36" t="str"/>
      <x:c r="N253" s="36" t="str">
        <x:v>工作流程</x:v>
      </x:c>
      <x:c r="O253" s="36" t="str">
        <x:v>短期</x:v>
      </x:c>
      <x:c r="P253" s="36" t="str">
        <x:v>["libreoffice_calc"]</x:v>
      </x:c>
      <x:c r="Q253" s="36" t="str">
        <x:v>[{"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x:v>
      </x:c>
      <x:c r="R253" s="36" t="str">
        <x:v>[]</x:v>
      </x:c>
      <x:c r="S253" s="36" t="str">
        <x:v>export_current_sheet_to_csv|fit_sheet_to_one_page_and_export_pdf</x:v>
      </x:c>
      <x:c r="T253" s="36" t="str">
        <x:v>Export_Calc_to_CSV.xlsx|Resize_Cells_Fit_Page.xlsx</x:v>
      </x:c>
      <x:c r="U253" s="36" t="str">
        <x:v>retrieve_and_synthesize</x:v>
      </x:c>
      <x:c r="V253" s="36" t="str">
        <x:v>[{"point_id":"P1","description":"把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x:v>
      </x:c>
      <x:c r="W253" s="36" t="str">
        <x:v>1.00</x:v>
      </x:c>
      <x:c r="X253" s="39" t="str">
        <x:v>这批文件马上要交付，帮我把几项工作一起收尾：第1件：把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x:v>
      </x:c>
      <x:c r="Y253"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53" s="39" t="str">
        <x:v>不适用：当前题目不存在需要用户进一步选择的候选记忆。</x:v>
      </x:c>
      <x:c r="AA253" s="39" t="str">
        <x:v>不适用：当前题目没有指定需要排除的冲突或禁止记忆。</x:v>
      </x:c>
      <x:c r="AB253" s="39" t="str">
        <x:v>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C253"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53" s="39" t="str">
        <x:v>用户的完整请求是：“这批文件马上要交付，帮我把几项工作一起收尾：第1件：把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E253" s="39" t="str">
        <x:v>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53" s="50" t="str">
        <x:v>not_pass</x:v>
      </x:c>
      <x:c r="AG253" s="50" t="n">
        <x:v>0</x:v>
      </x:c>
    </x:row>
    <x:row r="254" ht="202.5" customHeight="1">
      <x:c r="A254" s="35" t="str">
        <x:v>V3_CM09_Q03</x:v>
      </x:c>
      <x:c r="B254" s="36" t="str">
        <x:v>SG_COMP_CM09</x:v>
      </x:c>
      <x:c r="C254" s="36" t="str">
        <x:v>CM09</x:v>
      </x:c>
      <x:c r="D254" s="36" t="str">
        <x:v>CSV 与单页 PDF 交付</x:v>
      </x:c>
      <x:c r="E254" s="36" t="str">
        <x:v>complementary_multi_memory</x:v>
      </x:c>
      <x:c r="F254" s="36" t="str">
        <x:v>contextual_ellipsis</x:v>
      </x:c>
      <x:c r="G254" s="36" t="str">
        <x:v>challenge</x:v>
      </x:c>
      <x:c r="H254" s="36" t="str">
        <x:v>困难</x:v>
      </x:c>
      <x:c r="I254" s="36" t="str">
        <x:v>3aaa4e37-dc91-482e-99af-132a612d40f3|aa3a8974-2e85-438b-b29e-a64df44deb4b</x:v>
      </x:c>
      <x:c r="J254" s="36" t="str">
        <x:v>CTX_3aaa4e37-dc91-482e-99af-132a612d40f3|CTX_aa3a8974-2e85-438b-b29e-a64df44deb4b</x:v>
      </x:c>
      <x:c r="K254" s="36" t="str">
        <x:v>STM_3aaa4e37-dc91-482e-99af-132a612d40f3|STM_aa3a8974-2e85-438b-b29e-a64df44deb4b</x:v>
      </x:c>
      <x:c r="L254" s="36" t="str"/>
      <x:c r="M254" s="36" t="str"/>
      <x:c r="N254" s="36" t="str">
        <x:v>工作流程</x:v>
      </x:c>
      <x:c r="O254" s="36" t="str">
        <x:v>短期</x:v>
      </x:c>
      <x:c r="P254" s="36" t="str">
        <x:v>["libreoffice_calc"]</x:v>
      </x:c>
      <x:c r="Q254" s="36" t="str">
        <x:v>[{"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x:v>
      </x:c>
      <x:c r="R254" s="36" t="str">
        <x:v>[]</x:v>
      </x:c>
      <x:c r="S254" s="36" t="str">
        <x:v>export_current_sheet_to_csv|fit_sheet_to_one_page_and_export_pdf</x:v>
      </x:c>
      <x:c r="T254" s="36" t="str">
        <x:v>Export_Calc_to_CSV.xlsx|Resize_Cells_Fit_Page.xlsx</x:v>
      </x:c>
      <x:c r="U254" s="36" t="str">
        <x:v>retrieve_and_synthesize</x:v>
      </x:c>
      <x:c r="V254" s="36" t="str">
        <x:v>[{"point_id":"P1","description":"把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x:v>
      </x:c>
      <x:c r="W254" s="36" t="str">
        <x:v>1.00</x:v>
      </x:c>
      <x:c r="X254" s="39" t="str">
        <x:v>相关工作表我都打开了，接着分别处理：第1件：把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x:v>
      </x:c>
      <x:c r="Y254"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54" s="39" t="str">
        <x:v>不适用：当前题目不存在需要用户进一步选择的候选记忆。</x:v>
      </x:c>
      <x:c r="AA254" s="39" t="str">
        <x:v>不适用：当前题目没有指定需要排除的冲突或禁止记忆。</x:v>
      </x:c>
      <x:c r="AB254" s="39" t="str">
        <x:v>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C254"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54" s="39" t="str">
        <x:v>用户的完整请求是：“相关工作表我都打开了，接着分别处理：第1件：把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E254" s="39" t="str">
        <x:v>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54" s="50" t="str">
        <x:v>not_pass</x:v>
      </x:c>
      <x:c r="AG254" s="50" t="n">
        <x:v>0</x:v>
      </x:c>
    </x:row>
    <x:row r="255" ht="202.5" customHeight="1">
      <x:c r="A255" s="35" t="str">
        <x:v>V3_CM09_Q04</x:v>
      </x:c>
      <x:c r="B255" s="36" t="str">
        <x:v>SG_COMP_CM09</x:v>
      </x:c>
      <x:c r="C255" s="36" t="str">
        <x:v>CM09</x:v>
      </x:c>
      <x:c r="D255" s="36" t="str">
        <x:v>CSV 与单页 PDF 交付</x:v>
      </x:c>
      <x:c r="E255" s="36" t="str">
        <x:v>complementary_multi_memory</x:v>
      </x:c>
      <x:c r="F255" s="36" t="str">
        <x:v>low_overlap_paraphrase</x:v>
      </x:c>
      <x:c r="G255" s="36" t="str">
        <x:v>challenge</x:v>
      </x:c>
      <x:c r="H255" s="36" t="str">
        <x:v>困难</x:v>
      </x:c>
      <x:c r="I255" s="36" t="str">
        <x:v>3aaa4e37-dc91-482e-99af-132a612d40f3|aa3a8974-2e85-438b-b29e-a64df44deb4b</x:v>
      </x:c>
      <x:c r="J255" s="36" t="str">
        <x:v>CTX_3aaa4e37-dc91-482e-99af-132a612d40f3|CTX_aa3a8974-2e85-438b-b29e-a64df44deb4b</x:v>
      </x:c>
      <x:c r="K255" s="36" t="str">
        <x:v>STM_3aaa4e37-dc91-482e-99af-132a612d40f3|STM_aa3a8974-2e85-438b-b29e-a64df44deb4b</x:v>
      </x:c>
      <x:c r="L255" s="36" t="str"/>
      <x:c r="M255" s="36" t="str"/>
      <x:c r="N255" s="36" t="str">
        <x:v>工作流程</x:v>
      </x:c>
      <x:c r="O255" s="36" t="str">
        <x:v>短期</x:v>
      </x:c>
      <x:c r="P255" s="36" t="str">
        <x:v>["libreoffice_calc"]</x:v>
      </x:c>
      <x:c r="Q255" s="36" t="str">
        <x:v>[{"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x:v>
      </x:c>
      <x:c r="R255" s="36" t="str">
        <x:v>[]</x:v>
      </x:c>
      <x:c r="S255" s="36" t="str">
        <x:v>export_current_sheet_to_csv|fit_sheet_to_one_page_and_export_pdf</x:v>
      </x:c>
      <x:c r="T255" s="36" t="str">
        <x:v>Export_Calc_to_CSV.xlsx|Resize_Cells_Fit_Page.xlsx</x:v>
      </x:c>
      <x:c r="U255" s="36" t="str">
        <x:v>retrieve_and_synthesize</x:v>
      </x:c>
      <x:c r="V255" s="36" t="str">
        <x:v>[{"point_id":"P1","description":"把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x:v>
      </x:c>
      <x:c r="W255" s="36" t="str">
        <x:v>1.00</x:v>
      </x:c>
      <x:c r="X255" s="39" t="str">
        <x:v>我想一次把这批工作做完：第1件：把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PDF，并保存到用户主目录。不同文件的规则别串在一起。</x:v>
      </x:c>
      <x:c r="Y255"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55" s="39" t="str">
        <x:v>不适用：当前题目不存在需要用户进一步选择的候选记忆。</x:v>
      </x:c>
      <x:c r="AA255" s="39" t="str">
        <x:v>不适用：当前题目没有指定需要排除的冲突或禁止记忆。</x:v>
      </x:c>
      <x:c r="AB255" s="39" t="str">
        <x:v>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C255"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55" s="39" t="str">
        <x:v>用户的完整请求是：“我想一次把这批工作做完：第1件：把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PDF，并保存到用户主目录。不同文件的规则别串在一起。”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E255" s="39" t="str">
        <x:v>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55" s="50" t="str">
        <x:v>not_pass</x:v>
      </x:c>
      <x:c r="AG255" s="50" t="n">
        <x:v>0</x:v>
      </x:c>
    </x:row>
    <x:row r="256" ht="202.5" customHeight="1">
      <x:c r="A256" s="35" t="str">
        <x:v>V3_CM09_Q05</x:v>
      </x:c>
      <x:c r="B256" s="36" t="str">
        <x:v>SG_COMP_CM09</x:v>
      </x:c>
      <x:c r="C256" s="36" t="str">
        <x:v>CM09</x:v>
      </x:c>
      <x:c r="D256" s="36" t="str">
        <x:v>CSV 与单页 PDF 交付</x:v>
      </x:c>
      <x:c r="E256" s="36" t="str">
        <x:v>complementary_multi_memory</x:v>
      </x:c>
      <x:c r="F256" s="36" t="str">
        <x:v>human_constraint_emphasis</x:v>
      </x:c>
      <x:c r="G256" s="36" t="str">
        <x:v>challenge</x:v>
      </x:c>
      <x:c r="H256" s="36" t="str">
        <x:v>困难</x:v>
      </x:c>
      <x:c r="I256" s="36" t="str">
        <x:v>3aaa4e37-dc91-482e-99af-132a612d40f3|aa3a8974-2e85-438b-b29e-a64df44deb4b</x:v>
      </x:c>
      <x:c r="J256" s="36" t="str">
        <x:v>CTX_3aaa4e37-dc91-482e-99af-132a612d40f3|CTX_aa3a8974-2e85-438b-b29e-a64df44deb4b</x:v>
      </x:c>
      <x:c r="K256" s="36" t="str">
        <x:v>STM_3aaa4e37-dc91-482e-99af-132a612d40f3|STM_aa3a8974-2e85-438b-b29e-a64df44deb4b</x:v>
      </x:c>
      <x:c r="L256" s="36" t="str"/>
      <x:c r="M256" s="36" t="str"/>
      <x:c r="N256" s="36" t="str">
        <x:v>工作流程</x:v>
      </x:c>
      <x:c r="O256" s="36" t="str">
        <x:v>短期</x:v>
      </x:c>
      <x:c r="P256" s="36" t="str">
        <x:v>["libreoffice_calc"]</x:v>
      </x:c>
      <x:c r="Q256" s="36" t="str">
        <x:v>[{"step_id":"S1","app":"libreoffice_calc","action_key":"export_current_sheet_to_csv","input_artifacts":["Export_Calc_to_CSV.xlsx"],"output_artifacts":["Export_Calc_to_CSV.csv"],"depends_on":[]},{"step_id":"S2","app":"libreoffice_calc","action_key":"fit_sheet_to_one_page_and_export_pdf","input_artifacts":["Resize_Cells_Fit_Page.xlsx"],"output_artifacts":["Resize_Cells_Fit_Page.xlsx"],"depends_on":[]}]</x:v>
      </x:c>
      <x:c r="R256" s="36" t="str">
        <x:v>[]</x:v>
      </x:c>
      <x:c r="S256" s="36" t="str">
        <x:v>export_current_sheet_to_csv|fit_sheet_to_one_page_and_export_pdf</x:v>
      </x:c>
      <x:c r="T256" s="36" t="str">
        <x:v>Export_Calc_to_CSV.xlsx|Resize_Cells_Fit_Page.xlsx</x:v>
      </x:c>
      <x:c r="U256" s="36" t="str">
        <x:v>retrieve_and_synthesize</x:v>
      </x:c>
      <x:c r="V256" s="36" t="str">
        <x:v>[{"point_id":"P1","description":"把 Export_Calc_to_CSV.xlsx 当前工作表按屏幕显示内容导出为默认格式的 CSV，其他导出选项保持不变，CSV 与原 XLSX 使用相同的主文件名。","weight":0.45,"evidence_memory_ids":["STM_3aaa4e37-dc91-482e-99af-132a612d40f3"]},{"point_id":"P2","description":"调整 Resize_Cells_Fit_Page.xlsx 的单元格和页面布局，使内容适合一页显示，然后导出为与原电子表格同名的 PDF，并保存到用户主目录。","weight":0.45,"evidence_memory_ids":["STM_aa3a8974-2e85-438b-b29e-a64df44deb4b"]},{"point_id":"P3","description":"各文件和各步骤的规则不串用，不增加无来源操作","weight":0.1,"evidence_memory_ids":["STM_3aaa4e37-dc91-482e-99af-132a612d40f3","STM_aa3a8974-2e85-438b-b29e-a64df44deb4b"]}]</x:v>
      </x:c>
      <x:c r="W256" s="36" t="str">
        <x:v>1.00</x:v>
      </x:c>
      <x:c r="X256" s="39" t="str">
        <x:v>这次按文件分别处理，要求如下：第1件：把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x:v>
      </x:c>
      <x:c r="Y256"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Z256" s="39" t="str">
        <x:v>不适用：当前题目不存在需要用户进一步选择的候选记忆。</x:v>
      </x:c>
      <x:c r="AA256" s="39" t="str">
        <x:v>不适用：当前题目没有指定需要排除的冲突或禁止记忆。</x:v>
      </x:c>
      <x:c r="AB256" s="39" t="str">
        <x:v>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C256"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第2项实际操作：调整 Resize_Cells_Fit_Page.xlsx 的单元格和页面布局，使内容适合一页显示，然后导出为与原电子表格同名的 PDF，并保存到用户主目录。执行时必须满足：输出必须只有一页；PDF 主文件名与原表相同；保存到 home directory。</x:v>
      </x:c>
      <x:c r="AD256" s="39" t="str">
        <x:v>用户的完整请求是：“这次按文件分别处理，要求如下：第1件：把 Export_Calc_to_CSV.xlsx 当前工作表按屏幕显示内容导出为默认格式的 CSV，其他导出选项保持不变，CSV 与原 XLSX 使用相同的主文件名；第2件：调整 Resize_Cells_Fit_Page.xlsx 的单元格和页面布局，使内容适合一页显示，然后导出为与原电子表格同名的 PDF，并保存到用户主目录。” 第1个当前上下文：Export_Calc_to_CSV.xlsx 已在 LibreOffice Calc 中打开。 第2个当前上下文：Resize_Cells_Fit_Page.xlsx 已在 LibreOffice Calc 中打开。 当前请求要求在同一轮工作中得到多个结果。能够支持这些结果的完整必需记忆如下：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PDF，并保存到用户主目录。每项操作必须分别遵守其对应文件、工作表、范围、格式和输出约束，不能用其中一项替代另一项，也不能把不同文件的规则混用。”</x:v>
      </x:c>
      <x:c r="AE256" s="39" t="str">
        <x:v>本题总分为 1.00 分，各得分点独立累计，允许语义等价表达，不要求模型输出记忆 ID，也不要求逐字复述记忆原文。
第1个得分点（0.45分）：把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第2个得分点（0.45分）：调整 Resize_Cells_Fit_Page.xlsx 的单元格和页面布局，使内容适合一页显示，然后导出为与原电子表格同名的 PDF，并保存到用户主目录。该得分点所依据的完整证据为：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第3个得分点（0.10分）：各文件和各步骤的规则不串用，不增加无来源操作。该得分点所依据的完整证据为：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256" s="50" t="str">
        <x:v>not_pass</x:v>
      </x:c>
      <x:c r="AG256" s="50" t="n">
        <x:v>0</x:v>
      </x:c>
    </x:row>
    <x:row r="257" ht="216" customHeight="1">
      <x:c r="A257" s="35" t="str">
        <x:v>V3_CM10_Q01</x:v>
      </x:c>
      <x:c r="B257" s="36" t="str">
        <x:v>SG_COMP_CM10</x:v>
      </x:c>
      <x:c r="C257" s="36" t="str">
        <x:v>CM10</x:v>
      </x:c>
      <x:c r="D257" s="36" t="str">
        <x:v>工作表整理与冻结</x:v>
      </x:c>
      <x:c r="E257" s="36" t="str">
        <x:v>complementary_multi_memory</x:v>
      </x:c>
      <x:c r="F257" s="36" t="str">
        <x:v>human_context_explicit</x:v>
      </x:c>
      <x:c r="G257" s="36" t="str">
        <x:v>challenge</x:v>
      </x:c>
      <x:c r="H257" s="36" t="str">
        <x:v>困难</x:v>
      </x:c>
      <x:c r="I257" s="36" t="str">
        <x:v>0cecd4f3-74de-457b-ba94-29ad6b5dafb6|4188d3a4-077d-46b7-9c86-23e1a036f6c1</x:v>
      </x:c>
      <x:c r="J257" s="36" t="str">
        <x:v>CTX_0cecd4f3-74de-457b-ba94-29ad6b5dafb6|CTX_4188d3a4-077d-46b7-9c86-23e1a036f6c1</x:v>
      </x:c>
      <x:c r="K257" s="36" t="str">
        <x:v>STM_0cecd4f3-74de-457b-ba94-29ad6b5dafb6|MTM_4188d3a4-077d-46b7-9c86-23e1a036f6c1</x:v>
      </x:c>
      <x:c r="L257" s="36" t="str"/>
      <x:c r="M257" s="36" t="str"/>
      <x:c r="N257" s="36" t="str">
        <x:v>工作流程</x:v>
      </x:c>
      <x:c r="O257" s="36" t="str">
        <x:v>短期|中期</x:v>
      </x:c>
      <x:c r="P257" s="36" t="str">
        <x:v>["libreoffice_calc"]</x:v>
      </x:c>
      <x:c r="Q257" s="36" t="str">
        <x:v>[{"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x:v>
      </x:c>
      <x:c r="R257" s="36" t="str">
        <x:v>[]</x:v>
      </x:c>
      <x:c r="S257" s="36" t="str">
        <x:v>rename_copy_and_reorder_sheets|freeze_header_range_a1_b1</x:v>
      </x:c>
      <x:c r="T257" s="36" t="str">
        <x:v>copy_sheet_insert.xlsx|Freeze_row_column.xlsx</x:v>
      </x:c>
      <x:c r="U257" s="36" t="str">
        <x:v>retrieve_and_synthesize</x:v>
      </x:c>
      <x:c r="V257" s="36" t="str">
        <x:v>[{"point_id":"P1","description":"在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x:v>
      </x:c>
      <x:c r="W257" s="36" t="str">
        <x:v>1.00</x:v>
      </x:c>
      <x:c r="X257" s="39" t="str">
        <x:v>我今天要一起处理这批表。先做第1件事：在 copy_sheet_insert.xlsx 中把 Sheet 1 改名为 LARS Resources，复制该表并放到 Sheet 2 前，副本命名为 LARS Resources (Backup)，同时把 Sheet2 改名为 LARS Resources (Offline)；再做第2件事：在 Freeze_row_column.xlsx 中冻结 A1:B1 对应的表头区域，使滚动工作表时这些表头保持可见。都按各自原来的规则完成。</x:v>
      </x:c>
      <x:c r="Y257"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x:v>
      </x:c>
      <x:c r="Z257" s="39" t="str">
        <x:v>不适用：当前题目不存在需要用户进一步选择的候选记忆。</x:v>
      </x:c>
      <x:c r="AA257" s="39" t="str">
        <x:v>不适用：当前题目没有指定需要排除的冲突或禁止记忆。</x:v>
      </x:c>
      <x:c r="AB257" s="39" t="str">
        <x:v>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C257"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x:v>
      </x:c>
      <x:c r="AD257" s="39" t="str">
        <x:v>用户的完整请求是：“我今天要一起处理这批表。先做第1件事：在 copy_sheet_insert.xlsx 中把 Sheet 1 改名为 LARS Resources，复制该表并放到 Sheet 2 前，副本命名为 LARS Resources (Backup)，同时把 Sheet2 改名为 LARS Resources (Offline)；再做第2件事：在 Freeze_row_column.xlsx 中冻结 A1:B1 对应的表头区域，使滚动工作表时这些表头保持可见。都按各自原来的规则完成。”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E257" s="39" t="str">
        <x:v>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257" s="50" t="str">
        <x:v>not_pass</x:v>
      </x:c>
      <x:c r="AG257" s="50" t="n">
        <x:v>0</x:v>
      </x:c>
    </x:row>
    <x:row r="258" ht="216" customHeight="1">
      <x:c r="A258" s="35" t="str">
        <x:v>V3_CM10_Q02</x:v>
      </x:c>
      <x:c r="B258" s="36" t="str">
        <x:v>SG_COMP_CM10</x:v>
      </x:c>
      <x:c r="C258" s="36" t="str">
        <x:v>CM10</x:v>
      </x:c>
      <x:c r="D258" s="36" t="str">
        <x:v>工作表整理与冻结</x:v>
      </x:c>
      <x:c r="E258" s="36" t="str">
        <x:v>complementary_multi_memory</x:v>
      </x:c>
      <x:c r="F258" s="36" t="str">
        <x:v>human_goal_oriented</x:v>
      </x:c>
      <x:c r="G258" s="36" t="str">
        <x:v>challenge</x:v>
      </x:c>
      <x:c r="H258" s="36" t="str">
        <x:v>困难</x:v>
      </x:c>
      <x:c r="I258" s="36" t="str">
        <x:v>0cecd4f3-74de-457b-ba94-29ad6b5dafb6|4188d3a4-077d-46b7-9c86-23e1a036f6c1</x:v>
      </x:c>
      <x:c r="J258" s="36" t="str">
        <x:v>CTX_0cecd4f3-74de-457b-ba94-29ad6b5dafb6|CTX_4188d3a4-077d-46b7-9c86-23e1a036f6c1</x:v>
      </x:c>
      <x:c r="K258" s="36" t="str">
        <x:v>STM_0cecd4f3-74de-457b-ba94-29ad6b5dafb6|MTM_4188d3a4-077d-46b7-9c86-23e1a036f6c1</x:v>
      </x:c>
      <x:c r="L258" s="36" t="str"/>
      <x:c r="M258" s="36" t="str"/>
      <x:c r="N258" s="36" t="str">
        <x:v>工作流程</x:v>
      </x:c>
      <x:c r="O258" s="36" t="str">
        <x:v>短期|中期</x:v>
      </x:c>
      <x:c r="P258" s="36" t="str">
        <x:v>["libreoffice_calc"]</x:v>
      </x:c>
      <x:c r="Q258" s="36" t="str">
        <x:v>[{"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x:v>
      </x:c>
      <x:c r="R258" s="36" t="str">
        <x:v>[]</x:v>
      </x:c>
      <x:c r="S258" s="36" t="str">
        <x:v>rename_copy_and_reorder_sheets|freeze_header_range_a1_b1</x:v>
      </x:c>
      <x:c r="T258" s="36" t="str">
        <x:v>copy_sheet_insert.xlsx|Freeze_row_column.xlsx</x:v>
      </x:c>
      <x:c r="U258" s="36" t="str">
        <x:v>retrieve_and_synthesize</x:v>
      </x:c>
      <x:c r="V258" s="36" t="str">
        <x:v>[{"point_id":"P1","description":"在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x:v>
      </x:c>
      <x:c r="W258" s="36" t="str">
        <x:v>1.00</x:v>
      </x:c>
      <x:c r="X258" s="39" t="str">
        <x:v>这批文件马上要交付，帮我把几项工作一起收尾：第1件：在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x:v>
      </x:c>
      <x:c r="Y258"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x:v>
      </x:c>
      <x:c r="Z258" s="39" t="str">
        <x:v>不适用：当前题目不存在需要用户进一步选择的候选记忆。</x:v>
      </x:c>
      <x:c r="AA258" s="39" t="str">
        <x:v>不适用：当前题目没有指定需要排除的冲突或禁止记忆。</x:v>
      </x:c>
      <x:c r="AB258" s="39" t="str">
        <x:v>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C258"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x:v>
      </x:c>
      <x:c r="AD258" s="39" t="str">
        <x:v>用户的完整请求是：“这批文件马上要交付，帮我把几项工作一起收尾：第1件：在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E258" s="39" t="str">
        <x:v>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258" s="50" t="str">
        <x:v>not_pass</x:v>
      </x:c>
      <x:c r="AG258" s="50" t="n">
        <x:v>0</x:v>
      </x:c>
    </x:row>
    <x:row r="259" ht="216" customHeight="1">
      <x:c r="A259" s="35" t="str">
        <x:v>V3_CM10_Q03</x:v>
      </x:c>
      <x:c r="B259" s="36" t="str">
        <x:v>SG_COMP_CM10</x:v>
      </x:c>
      <x:c r="C259" s="36" t="str">
        <x:v>CM10</x:v>
      </x:c>
      <x:c r="D259" s="36" t="str">
        <x:v>工作表整理与冻结</x:v>
      </x:c>
      <x:c r="E259" s="36" t="str">
        <x:v>complementary_multi_memory</x:v>
      </x:c>
      <x:c r="F259" s="36" t="str">
        <x:v>contextual_ellipsis</x:v>
      </x:c>
      <x:c r="G259" s="36" t="str">
        <x:v>challenge</x:v>
      </x:c>
      <x:c r="H259" s="36" t="str">
        <x:v>困难</x:v>
      </x:c>
      <x:c r="I259" s="36" t="str">
        <x:v>0cecd4f3-74de-457b-ba94-29ad6b5dafb6|4188d3a4-077d-46b7-9c86-23e1a036f6c1</x:v>
      </x:c>
      <x:c r="J259" s="36" t="str">
        <x:v>CTX_0cecd4f3-74de-457b-ba94-29ad6b5dafb6|CTX_4188d3a4-077d-46b7-9c86-23e1a036f6c1</x:v>
      </x:c>
      <x:c r="K259" s="36" t="str">
        <x:v>STM_0cecd4f3-74de-457b-ba94-29ad6b5dafb6|MTM_4188d3a4-077d-46b7-9c86-23e1a036f6c1</x:v>
      </x:c>
      <x:c r="L259" s="36" t="str"/>
      <x:c r="M259" s="36" t="str"/>
      <x:c r="N259" s="36" t="str">
        <x:v>工作流程</x:v>
      </x:c>
      <x:c r="O259" s="36" t="str">
        <x:v>短期|中期</x:v>
      </x:c>
      <x:c r="P259" s="36" t="str">
        <x:v>["libreoffice_calc"]</x:v>
      </x:c>
      <x:c r="Q259" s="36" t="str">
        <x:v>[{"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x:v>
      </x:c>
      <x:c r="R259" s="36" t="str">
        <x:v>[]</x:v>
      </x:c>
      <x:c r="S259" s="36" t="str">
        <x:v>rename_copy_and_reorder_sheets|freeze_header_range_a1_b1</x:v>
      </x:c>
      <x:c r="T259" s="36" t="str">
        <x:v>copy_sheet_insert.xlsx|Freeze_row_column.xlsx</x:v>
      </x:c>
      <x:c r="U259" s="36" t="str">
        <x:v>retrieve_and_synthesize</x:v>
      </x:c>
      <x:c r="V259" s="36" t="str">
        <x:v>[{"point_id":"P1","description":"在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x:v>
      </x:c>
      <x:c r="W259" s="36" t="str">
        <x:v>1.00</x:v>
      </x:c>
      <x:c r="X259" s="39" t="str">
        <x:v>相关工作表我都打开了，接着分别处理：第1件：在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x:v>
      </x:c>
      <x:c r="Y259"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x:v>
      </x:c>
      <x:c r="Z259" s="39" t="str">
        <x:v>不适用：当前题目不存在需要用户进一步选择的候选记忆。</x:v>
      </x:c>
      <x:c r="AA259" s="39" t="str">
        <x:v>不适用：当前题目没有指定需要排除的冲突或禁止记忆。</x:v>
      </x:c>
      <x:c r="AB259" s="39" t="str">
        <x:v>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C259"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x:v>
      </x:c>
      <x:c r="AD259" s="39" t="str">
        <x:v>用户的完整请求是：“相关工作表我都打开了，接着分别处理：第1件：在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E259" s="39" t="str">
        <x:v>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259" s="50" t="str">
        <x:v>not_pass</x:v>
      </x:c>
      <x:c r="AG259" s="50" t="n">
        <x:v>0</x:v>
      </x:c>
    </x:row>
    <x:row r="260" ht="216" customHeight="1">
      <x:c r="A260" s="35" t="str">
        <x:v>V3_CM10_Q04</x:v>
      </x:c>
      <x:c r="B260" s="36" t="str">
        <x:v>SG_COMP_CM10</x:v>
      </x:c>
      <x:c r="C260" s="36" t="str">
        <x:v>CM10</x:v>
      </x:c>
      <x:c r="D260" s="36" t="str">
        <x:v>工作表整理与冻结</x:v>
      </x:c>
      <x:c r="E260" s="36" t="str">
        <x:v>complementary_multi_memory</x:v>
      </x:c>
      <x:c r="F260" s="36" t="str">
        <x:v>low_overlap_paraphrase</x:v>
      </x:c>
      <x:c r="G260" s="36" t="str">
        <x:v>challenge</x:v>
      </x:c>
      <x:c r="H260" s="36" t="str">
        <x:v>困难</x:v>
      </x:c>
      <x:c r="I260" s="36" t="str">
        <x:v>0cecd4f3-74de-457b-ba94-29ad6b5dafb6|4188d3a4-077d-46b7-9c86-23e1a036f6c1</x:v>
      </x:c>
      <x:c r="J260" s="36" t="str">
        <x:v>CTX_0cecd4f3-74de-457b-ba94-29ad6b5dafb6|CTX_4188d3a4-077d-46b7-9c86-23e1a036f6c1</x:v>
      </x:c>
      <x:c r="K260" s="36" t="str">
        <x:v>STM_0cecd4f3-74de-457b-ba94-29ad6b5dafb6|MTM_4188d3a4-077d-46b7-9c86-23e1a036f6c1</x:v>
      </x:c>
      <x:c r="L260" s="36" t="str"/>
      <x:c r="M260" s="36" t="str"/>
      <x:c r="N260" s="36" t="str">
        <x:v>工作流程</x:v>
      </x:c>
      <x:c r="O260" s="36" t="str">
        <x:v>短期|中期</x:v>
      </x:c>
      <x:c r="P260" s="36" t="str">
        <x:v>["libreoffice_calc"]</x:v>
      </x:c>
      <x:c r="Q260" s="36" t="str">
        <x:v>[{"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x:v>
      </x:c>
      <x:c r="R260" s="36" t="str">
        <x:v>[]</x:v>
      </x:c>
      <x:c r="S260" s="36" t="str">
        <x:v>rename_copy_and_reorder_sheets|freeze_header_range_a1_b1</x:v>
      </x:c>
      <x:c r="T260" s="36" t="str">
        <x:v>copy_sheet_insert.xlsx|Freeze_row_column.xlsx</x:v>
      </x:c>
      <x:c r="U260" s="36" t="str">
        <x:v>retrieve_and_synthesize</x:v>
      </x:c>
      <x:c r="V260" s="36" t="str">
        <x:v>[{"point_id":"P1","description":"在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x:v>
      </x:c>
      <x:c r="W260" s="36" t="str">
        <x:v>1.00</x:v>
      </x:c>
      <x:c r="X260" s="39" t="str">
        <x:v>我想一次把这批工作做完：第1件：在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对应的表头区域，使滚动工作表时这些表头保持可见。不同文件的规则别串在一起。</x:v>
      </x:c>
      <x:c r="Y260"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x:v>
      </x:c>
      <x:c r="Z260" s="39" t="str">
        <x:v>不适用：当前题目不存在需要用户进一步选择的候选记忆。</x:v>
      </x:c>
      <x:c r="AA260" s="39" t="str">
        <x:v>不适用：当前题目没有指定需要排除的冲突或禁止记忆。</x:v>
      </x:c>
      <x:c r="AB260" s="39" t="str">
        <x:v>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C260"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x:v>
      </x:c>
      <x:c r="AD260" s="39" t="str">
        <x:v>用户的完整请求是：“我想一次把这批工作做完：第1件：在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对应的表头区域，使滚动工作表时这些表头保持可见。不同文件的规则别串在一起。”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E260" s="39" t="str">
        <x:v>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260" s="50" t="str">
        <x:v>not_pass</x:v>
      </x:c>
      <x:c r="AG260" s="50" t="n">
        <x:v>0</x:v>
      </x:c>
    </x:row>
    <x:row r="261" ht="216" customHeight="1">
      <x:c r="A261" s="35" t="str">
        <x:v>V3_CM10_Q05</x:v>
      </x:c>
      <x:c r="B261" s="36" t="str">
        <x:v>SG_COMP_CM10</x:v>
      </x:c>
      <x:c r="C261" s="36" t="str">
        <x:v>CM10</x:v>
      </x:c>
      <x:c r="D261" s="36" t="str">
        <x:v>工作表整理与冻结</x:v>
      </x:c>
      <x:c r="E261" s="36" t="str">
        <x:v>complementary_multi_memory</x:v>
      </x:c>
      <x:c r="F261" s="36" t="str">
        <x:v>human_constraint_emphasis</x:v>
      </x:c>
      <x:c r="G261" s="36" t="str">
        <x:v>challenge</x:v>
      </x:c>
      <x:c r="H261" s="36" t="str">
        <x:v>困难</x:v>
      </x:c>
      <x:c r="I261" s="36" t="str">
        <x:v>0cecd4f3-74de-457b-ba94-29ad6b5dafb6|4188d3a4-077d-46b7-9c86-23e1a036f6c1</x:v>
      </x:c>
      <x:c r="J261" s="36" t="str">
        <x:v>CTX_0cecd4f3-74de-457b-ba94-29ad6b5dafb6|CTX_4188d3a4-077d-46b7-9c86-23e1a036f6c1</x:v>
      </x:c>
      <x:c r="K261" s="36" t="str">
        <x:v>STM_0cecd4f3-74de-457b-ba94-29ad6b5dafb6|MTM_4188d3a4-077d-46b7-9c86-23e1a036f6c1</x:v>
      </x:c>
      <x:c r="L261" s="36" t="str"/>
      <x:c r="M261" s="36" t="str"/>
      <x:c r="N261" s="36" t="str">
        <x:v>工作流程</x:v>
      </x:c>
      <x:c r="O261" s="36" t="str">
        <x:v>短期|中期</x:v>
      </x:c>
      <x:c r="P261" s="36" t="str">
        <x:v>["libreoffice_calc"]</x:v>
      </x:c>
      <x:c r="Q261" s="36" t="str">
        <x:v>[{"step_id":"S1","app":"libreoffice_calc","action_key":"rename_copy_and_reorder_sheets","input_artifacts":["copy_sheet_insert.xlsx"],"output_artifacts":["copy_sheet_insert.xlsx"],"depends_on":[]},{"step_id":"S2","app":"libreoffice_calc","action_key":"freeze_header_range_a1_b1","input_artifacts":["Freeze_row_column.xlsx"],"output_artifacts":["Freeze_row_column.xlsx"],"depends_on":[]}]</x:v>
      </x:c>
      <x:c r="R261" s="36" t="str">
        <x:v>[]</x:v>
      </x:c>
      <x:c r="S261" s="36" t="str">
        <x:v>rename_copy_and_reorder_sheets|freeze_header_range_a1_b1</x:v>
      </x:c>
      <x:c r="T261" s="36" t="str">
        <x:v>copy_sheet_insert.xlsx|Freeze_row_column.xlsx</x:v>
      </x:c>
      <x:c r="U261" s="36" t="str">
        <x:v>retrieve_and_synthesize</x:v>
      </x:c>
      <x:c r="V261" s="36" t="str">
        <x:v>[{"point_id":"P1","description":"在 copy_sheet_insert.xlsx 中把 Sheet 1 改名为 LARS Resources，复制该表并放到 Sheet 2 前，副本命名为 LARS Resources (Backup)，同时把 Sheet2 改名为 LARS Resources (Offline)。","weight":0.45,"evidence_memory_ids":["STM_0cecd4f3-74de-457b-ba94-29ad6b5dafb6"]},{"point_id":"P2","description":"在 Freeze_row_column.xlsx 中冻结 A1:B1 对应的表头区域，使滚动工作表时这些表头保持可见。","weight":0.45,"evidence_memory_ids":["MTM_4188d3a4-077d-46b7-9c86-23e1a036f6c1"]},{"point_id":"P3","description":"各文件和各步骤的规则不串用，不增加无来源操作","weight":0.1,"evidence_memory_ids":["STM_0cecd4f3-74de-457b-ba94-29ad6b5dafb6","MTM_4188d3a4-077d-46b7-9c86-23e1a036f6c1"]}]</x:v>
      </x:c>
      <x:c r="W261" s="36" t="str">
        <x:v>1.00</x:v>
      </x:c>
      <x:c r="X261" s="39" t="str">
        <x:v>这次按文件分别处理，要求如下：第1件：在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x:v>
      </x:c>
      <x:c r="Y261"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x:v>
      </x:c>
      <x:c r="Z261" s="39" t="str">
        <x:v>不适用：当前题目不存在需要用户进一步选择的候选记忆。</x:v>
      </x:c>
      <x:c r="AA261" s="39" t="str">
        <x:v>不适用：当前题目没有指定需要排除的冲突或禁止记忆。</x:v>
      </x:c>
      <x:c r="AB261" s="39" t="str">
        <x:v>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C261" s="39" t="str">
        <x:v>第1项实际操作：在 copy_sheet_insert.xlsx 中把 Sheet 1 改名为 LARS Resources，复制该表并放到 Sheet 2 前，副本命名为 LARS Resources (Backup)，同时把 Sheet2 改名为 LARS Resources (Offline)。执行时必须满足：副本位于原 Sheet 2 前；Backup 前有空格；三个目标名称必须完全一致。 第2项实际操作：在 Freeze_row_column.xlsx 中冻结 A1:B1 对应的表头区域，使滚动工作表时这些表头保持可见。执行时必须满足：冻结目标为 A1:B1；不修改表头内容或其他格式。</x:v>
      </x:c>
      <x:c r="AD261" s="39" t="str">
        <x:v>用户的完整请求是：“这次按文件分别处理，要求如下：第1件：在 copy_sheet_insert.xlsx 中把 Sheet 1 改名为 LARS Resources，复制该表并放到 Sheet 2 前，副本命名为 LARS Resources (Backup)，同时把 Sheet2 改名为 LARS Resources (Offline)；第2件：在 Freeze_row_column.xlsx 中冻结 A1:B1 对应的表头区域，使滚动工作表时这些表头保持可见。” 第1个当前上下文：copy_sheet_insert.xlsx 已在 LibreOffice Calc 中打开。 第2个当前上下文：Freeze_row_column.xlsx 已在 LibreOffice Calc 中打开。 当前请求要求在同一轮工作中得到多个结果。能够支持这些结果的完整必需记忆如下：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对应的表头区域，使滚动工作表时这些表头保持可见。每项操作必须分别遵守其对应文件、工作表、范围、格式和输出约束，不能用其中一项替代另一项，也不能把不同文件的规则混用。”</x:v>
      </x:c>
      <x:c r="AE261" s="39" t="str">
        <x:v>本题总分为 1.00 分，各得分点独立累计，允许语义等价表达，不要求模型输出记忆 ID，也不要求逐字复述记忆原文。
第1个得分点（0.45分）：在 copy_sheet_insert.xlsx 中把 Sheet 1 改名为 LARS Resources，复制该表并放到 Sheet 2 前，副本命名为 LARS Resources (Backup)，同时把 Sheet2 改名为 LARS Resources (Offline)。该得分点所依据的完整证据为：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第2个得分点（0.45分）：在 Freeze_row_column.xlsx 中冻结 A1:B1 对应的表头区域，使滚动工作表时这些表头保持可见。该得分点所依据的完整证据为：
第1条记忆（中期/工作流程）：在 Freeze_row_column.xlsx 中冻结 A1:B1 对应的表头区域，使滚动工作表时这些表头保持可见。关键约束：冻结目标为 A1:B1；不修改表头内容或其他格式。
第3个得分点（0.10分）：各文件和各步骤的规则不串用，不增加无来源操作。该得分点所依据的完整证据为：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人工复审时，应依据模型最终给出的信息和实际操作是否满足上述每个得分点分别给分；只命中记忆 ID 但没有形成对应结论不能获得该结论分，形成了正确结论但表达方式不同则不应扣分。</x:v>
      </x:c>
      <x:c r="AF261" s="50" t="str">
        <x:v>not_pass</x:v>
      </x:c>
      <x:c r="AG261" s="50" t="n">
        <x:v>0</x:v>
      </x:c>
    </x:row>
    <x:row r="262" ht="202.5" customHeight="1">
      <x:c r="A262" s="35" t="str">
        <x:v>V3_CM11_Q01</x:v>
      </x:c>
      <x:c r="B262" s="36" t="str">
        <x:v>SG_COMP_CM11</x:v>
      </x:c>
      <x:c r="C262" s="36" t="str">
        <x:v>CM11</x:v>
      </x:c>
      <x:c r="D262" s="36" t="str">
        <x:v>员工姓名职级与年龄</x:v>
      </x:c>
      <x:c r="E262" s="36" t="str">
        <x:v>complementary_multi_memory</x:v>
      </x:c>
      <x:c r="F262" s="36" t="str">
        <x:v>human_context_explicit</x:v>
      </x:c>
      <x:c r="G262" s="36" t="str">
        <x:v>challenge</x:v>
      </x:c>
      <x:c r="H262" s="36" t="str">
        <x:v>困难</x:v>
      </x:c>
      <x:c r="I262" s="36" t="str">
        <x:v>37608790-6147-45d0-9f20-1137bb35703d|4e6fcf72-daf3-439f-a232-c434ce416af6</x:v>
      </x:c>
      <x:c r="J262" s="36" t="str">
        <x:v>CTX_37608790-6147-45d0-9f20-1137bb35703d|CTX_4e6fcf72-daf3-439f-a232-c434ce416af6</x:v>
      </x:c>
      <x:c r="K262" s="36" t="str">
        <x:v>STM_37608790-6147-45d0-9f20-1137bb35703d|MTM_4e6fcf72-daf3-439f-a232-c434ce416af6</x:v>
      </x:c>
      <x:c r="L262" s="36" t="str"/>
      <x:c r="M262" s="36" t="str"/>
      <x:c r="N262" s="36" t="str">
        <x:v>工作流程|知识</x:v>
      </x:c>
      <x:c r="O262" s="36" t="str">
        <x:v>短期|中期</x:v>
      </x:c>
      <x:c r="P262" s="36" t="str">
        <x:v>["libreoffice_calc"]</x:v>
      </x:c>
      <x:c r="Q262" s="36" t="str">
        <x:v>[{"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x:v>
      </x:c>
      <x:c r="R262" s="36" t="str">
        <x:v>[]</x:v>
      </x:c>
      <x:c r="S262" s="36" t="str">
        <x:v>split_employee_identity_fields|calculate_employee_ages</x:v>
      </x:c>
      <x:c r="T262" s="36" t="str">
        <x:v>Employee_Roles_and_Ranks.xlsx|Employee_Age_By_Birthday.xlsx</x:v>
      </x:c>
      <x:c r="U262" s="36" t="str">
        <x:v>retrieve_and_synthesize</x:v>
      </x:c>
      <x:c r="V262" s="36" t="str">
        <x:v>[{"point_id":"P1","description":"在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x:v>
      </x:c>
      <x:c r="W262" s="36" t="str">
        <x:v>1.00</x:v>
      </x:c>
      <x:c r="X262" s="39" t="str">
        <x:v>我今天要一起处理这批表。先做第1件事：在 Employee_Roles_and_Ranks.xlsx 中，把混在一个字段里的人员信息拆分，并分别填入 First Name、Last Name 和 Rank 列，同时保留原始数据；再做第2件事：在 Employee_Age_By_Birthday.xlsx 中根据每位员工的生日计算对应年龄并填入目标区域。都按各自原来的规则完成。</x:v>
      </x:c>
      <x:c r="Y262" s="39" t="str">
        <x:v>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x:v>
      </x:c>
      <x:c r="Z262" s="39" t="str">
        <x:v>不适用：当前题目不存在需要用户进一步选择的候选记忆。</x:v>
      </x:c>
      <x:c r="AA262" s="39" t="str">
        <x:v>不适用：当前题目没有指定需要排除的冲突或禁止记忆。</x:v>
      </x:c>
      <x:c r="AB262" s="39" t="str">
        <x:v>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C262"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x:v>
      </x:c>
      <x:c r="AD262" s="39" t="str">
        <x:v>用户的完整请求是：“我今天要一起处理这批表。先做第1件事：在 Employee_Roles_and_Ranks.xlsx 中，把混在一个字段里的人员信息拆分，并分别填入 First Name、Last Name 和 Rank 列，同时保留原始数据；再做第2件事：在 Employee_Age_By_Birthday.xlsx 中根据每位员工的生日计算对应年龄并填入目标区域。都按各自原来的规则完成。”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E262"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262" s="50" t="str">
        <x:v>not_pass</x:v>
      </x:c>
      <x:c r="AG262" s="50" t="n">
        <x:v>0</x:v>
      </x:c>
    </x:row>
    <x:row r="263" ht="202.5" customHeight="1">
      <x:c r="A263" s="35" t="str">
        <x:v>V3_CM11_Q02</x:v>
      </x:c>
      <x:c r="B263" s="36" t="str">
        <x:v>SG_COMP_CM11</x:v>
      </x:c>
      <x:c r="C263" s="36" t="str">
        <x:v>CM11</x:v>
      </x:c>
      <x:c r="D263" s="36" t="str">
        <x:v>员工姓名职级与年龄</x:v>
      </x:c>
      <x:c r="E263" s="36" t="str">
        <x:v>complementary_multi_memory</x:v>
      </x:c>
      <x:c r="F263" s="36" t="str">
        <x:v>human_goal_oriented</x:v>
      </x:c>
      <x:c r="G263" s="36" t="str">
        <x:v>challenge</x:v>
      </x:c>
      <x:c r="H263" s="36" t="str">
        <x:v>困难</x:v>
      </x:c>
      <x:c r="I263" s="36" t="str">
        <x:v>37608790-6147-45d0-9f20-1137bb35703d|4e6fcf72-daf3-439f-a232-c434ce416af6</x:v>
      </x:c>
      <x:c r="J263" s="36" t="str">
        <x:v>CTX_37608790-6147-45d0-9f20-1137bb35703d|CTX_4e6fcf72-daf3-439f-a232-c434ce416af6</x:v>
      </x:c>
      <x:c r="K263" s="36" t="str">
        <x:v>STM_37608790-6147-45d0-9f20-1137bb35703d|MTM_4e6fcf72-daf3-439f-a232-c434ce416af6</x:v>
      </x:c>
      <x:c r="L263" s="36" t="str"/>
      <x:c r="M263" s="36" t="str"/>
      <x:c r="N263" s="36" t="str">
        <x:v>工作流程|知识</x:v>
      </x:c>
      <x:c r="O263" s="36" t="str">
        <x:v>短期|中期</x:v>
      </x:c>
      <x:c r="P263" s="36" t="str">
        <x:v>["libreoffice_calc"]</x:v>
      </x:c>
      <x:c r="Q263" s="36" t="str">
        <x:v>[{"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x:v>
      </x:c>
      <x:c r="R263" s="36" t="str">
        <x:v>[]</x:v>
      </x:c>
      <x:c r="S263" s="36" t="str">
        <x:v>split_employee_identity_fields|calculate_employee_ages</x:v>
      </x:c>
      <x:c r="T263" s="36" t="str">
        <x:v>Employee_Roles_and_Ranks.xlsx|Employee_Age_By_Birthday.xlsx</x:v>
      </x:c>
      <x:c r="U263" s="36" t="str">
        <x:v>retrieve_and_synthesize</x:v>
      </x:c>
      <x:c r="V263" s="36" t="str">
        <x:v>[{"point_id":"P1","description":"在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x:v>
      </x:c>
      <x:c r="W263" s="36" t="str">
        <x:v>1.00</x:v>
      </x:c>
      <x:c r="X263" s="39" t="str">
        <x:v>这批文件马上要交付，帮我把几项工作一起收尾：第1件：在 Employee_Roles_and_Ranks.xlsx 中，把混在一个字段里的人员信息拆分，并分别填入 First Name、Last Name 和 Rank 列，同时保留原始数据；第2件：在 Employee_Age_By_Birthday.xlsx 中根据每位员工的生日计算对应年龄并填入目标区域。</x:v>
      </x:c>
      <x:c r="Y263" s="39" t="str">
        <x:v>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x:v>
      </x:c>
      <x:c r="Z263" s="39" t="str">
        <x:v>不适用：当前题目不存在需要用户进一步选择的候选记忆。</x:v>
      </x:c>
      <x:c r="AA263" s="39" t="str">
        <x:v>不适用：当前题目没有指定需要排除的冲突或禁止记忆。</x:v>
      </x:c>
      <x:c r="AB263" s="39" t="str">
        <x:v>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C263"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x:v>
      </x:c>
      <x:c r="AD263" s="39" t="str">
        <x:v>用户的完整请求是：“这批文件马上要交付，帮我把几项工作一起收尾：第1件：在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E263"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263" s="50" t="str">
        <x:v>not_pass</x:v>
      </x:c>
      <x:c r="AG263" s="50" t="n">
        <x:v>0</x:v>
      </x:c>
    </x:row>
    <x:row r="264" ht="189" customHeight="1">
      <x:c r="A264" s="35" t="str">
        <x:v>V3_CM11_Q03</x:v>
      </x:c>
      <x:c r="B264" s="36" t="str">
        <x:v>SG_COMP_CM11</x:v>
      </x:c>
      <x:c r="C264" s="36" t="str">
        <x:v>CM11</x:v>
      </x:c>
      <x:c r="D264" s="36" t="str">
        <x:v>员工姓名职级与年龄</x:v>
      </x:c>
      <x:c r="E264" s="36" t="str">
        <x:v>complementary_multi_memory</x:v>
      </x:c>
      <x:c r="F264" s="36" t="str">
        <x:v>contextual_ellipsis</x:v>
      </x:c>
      <x:c r="G264" s="36" t="str">
        <x:v>challenge</x:v>
      </x:c>
      <x:c r="H264" s="36" t="str">
        <x:v>困难</x:v>
      </x:c>
      <x:c r="I264" s="36" t="str">
        <x:v>37608790-6147-45d0-9f20-1137bb35703d|4e6fcf72-daf3-439f-a232-c434ce416af6</x:v>
      </x:c>
      <x:c r="J264" s="36" t="str">
        <x:v>CTX_37608790-6147-45d0-9f20-1137bb35703d|CTX_4e6fcf72-daf3-439f-a232-c434ce416af6</x:v>
      </x:c>
      <x:c r="K264" s="36" t="str">
        <x:v>STM_37608790-6147-45d0-9f20-1137bb35703d|MTM_4e6fcf72-daf3-439f-a232-c434ce416af6</x:v>
      </x:c>
      <x:c r="L264" s="36" t="str"/>
      <x:c r="M264" s="36" t="str"/>
      <x:c r="N264" s="36" t="str">
        <x:v>工作流程|知识</x:v>
      </x:c>
      <x:c r="O264" s="36" t="str">
        <x:v>短期|中期</x:v>
      </x:c>
      <x:c r="P264" s="36" t="str">
        <x:v>["libreoffice_calc"]</x:v>
      </x:c>
      <x:c r="Q264" s="36" t="str">
        <x:v>[{"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x:v>
      </x:c>
      <x:c r="R264" s="36" t="str">
        <x:v>[]</x:v>
      </x:c>
      <x:c r="S264" s="36" t="str">
        <x:v>split_employee_identity_fields|calculate_employee_ages</x:v>
      </x:c>
      <x:c r="T264" s="36" t="str">
        <x:v>Employee_Roles_and_Ranks.xlsx|Employee_Age_By_Birthday.xlsx</x:v>
      </x:c>
      <x:c r="U264" s="36" t="str">
        <x:v>retrieve_and_synthesize</x:v>
      </x:c>
      <x:c r="V264" s="36" t="str">
        <x:v>[{"point_id":"P1","description":"在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x:v>
      </x:c>
      <x:c r="W264" s="36" t="str">
        <x:v>1.00</x:v>
      </x:c>
      <x:c r="X264" s="39" t="str">
        <x:v>相关工作表我都打开了，接着分别处理：第1件：在 Employee_Roles_and_Ranks.xlsx 中，把混在一个字段里的人员信息拆分，并分别填入 First Name、Last Name 和 Rank 列，同时保留原始数据；第2件：在 Employee_Age_By_Birthday.xlsx 中根据每位员工的生日计算对应年龄并填入目标区域。</x:v>
      </x:c>
      <x:c r="Y264" s="39" t="str">
        <x:v>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x:v>
      </x:c>
      <x:c r="Z264" s="39" t="str">
        <x:v>不适用：当前题目不存在需要用户进一步选择的候选记忆。</x:v>
      </x:c>
      <x:c r="AA264" s="39" t="str">
        <x:v>不适用：当前题目没有指定需要排除的冲突或禁止记忆。</x:v>
      </x:c>
      <x:c r="AB264" s="39" t="str">
        <x:v>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C264"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x:v>
      </x:c>
      <x:c r="AD264" s="39" t="str">
        <x:v>用户的完整请求是：“相关工作表我都打开了，接着分别处理：第1件：在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E264"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264" s="50" t="str">
        <x:v>not_pass</x:v>
      </x:c>
      <x:c r="AG264" s="50" t="n">
        <x:v>0</x:v>
      </x:c>
    </x:row>
    <x:row r="265" ht="202.5" customHeight="1">
      <x:c r="A265" s="35" t="str">
        <x:v>V3_CM11_Q04</x:v>
      </x:c>
      <x:c r="B265" s="36" t="str">
        <x:v>SG_COMP_CM11</x:v>
      </x:c>
      <x:c r="C265" s="36" t="str">
        <x:v>CM11</x:v>
      </x:c>
      <x:c r="D265" s="36" t="str">
        <x:v>员工姓名职级与年龄</x:v>
      </x:c>
      <x:c r="E265" s="36" t="str">
        <x:v>complementary_multi_memory</x:v>
      </x:c>
      <x:c r="F265" s="36" t="str">
        <x:v>low_overlap_paraphrase</x:v>
      </x:c>
      <x:c r="G265" s="36" t="str">
        <x:v>challenge</x:v>
      </x:c>
      <x:c r="H265" s="36" t="str">
        <x:v>困难</x:v>
      </x:c>
      <x:c r="I265" s="36" t="str">
        <x:v>37608790-6147-45d0-9f20-1137bb35703d|4e6fcf72-daf3-439f-a232-c434ce416af6</x:v>
      </x:c>
      <x:c r="J265" s="36" t="str">
        <x:v>CTX_37608790-6147-45d0-9f20-1137bb35703d|CTX_4e6fcf72-daf3-439f-a232-c434ce416af6</x:v>
      </x:c>
      <x:c r="K265" s="36" t="str">
        <x:v>STM_37608790-6147-45d0-9f20-1137bb35703d|MTM_4e6fcf72-daf3-439f-a232-c434ce416af6</x:v>
      </x:c>
      <x:c r="L265" s="36" t="str"/>
      <x:c r="M265" s="36" t="str"/>
      <x:c r="N265" s="36" t="str">
        <x:v>工作流程|知识</x:v>
      </x:c>
      <x:c r="O265" s="36" t="str">
        <x:v>短期|中期</x:v>
      </x:c>
      <x:c r="P265" s="36" t="str">
        <x:v>["libreoffice_calc"]</x:v>
      </x:c>
      <x:c r="Q265" s="36" t="str">
        <x:v>[{"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x:v>
      </x:c>
      <x:c r="R265" s="36" t="str">
        <x:v>[]</x:v>
      </x:c>
      <x:c r="S265" s="36" t="str">
        <x:v>split_employee_identity_fields|calculate_employee_ages</x:v>
      </x:c>
      <x:c r="T265" s="36" t="str">
        <x:v>Employee_Roles_and_Ranks.xlsx|Employee_Age_By_Birthday.xlsx</x:v>
      </x:c>
      <x:c r="U265" s="36" t="str">
        <x:v>retrieve_and_synthesize</x:v>
      </x:c>
      <x:c r="V265" s="36" t="str">
        <x:v>[{"point_id":"P1","description":"在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x:v>
      </x:c>
      <x:c r="W265" s="36" t="str">
        <x:v>1.00</x:v>
      </x:c>
      <x:c r="X265" s="39" t="str">
        <x:v>我想一次把这批工作做完：第1件：在 Employee_Roles_and_Ranks.xlsx 中，把混在一个字段里的人员信息拆分，并分别填入 First Name、Last Name 和 Rank 列，同时保留原始数据；第2件：在 Employee_Age_By_Birthday.xlsx 中根据每位员工的生日计算对应年龄并填入目标区域。不同文件的规则别串在一起。</x:v>
      </x:c>
      <x:c r="Y265" s="39" t="str">
        <x:v>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x:v>
      </x:c>
      <x:c r="Z265" s="39" t="str">
        <x:v>不适用：当前题目不存在需要用户进一步选择的候选记忆。</x:v>
      </x:c>
      <x:c r="AA265" s="39" t="str">
        <x:v>不适用：当前题目没有指定需要排除的冲突或禁止记忆。</x:v>
      </x:c>
      <x:c r="AB265" s="39" t="str">
        <x:v>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C265"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x:v>
      </x:c>
      <x:c r="AD265" s="39" t="str">
        <x:v>用户的完整请求是：“我想一次把这批工作做完：第1件：在 Employee_Roles_and_Ranks.xlsx 中，把混在一个字段里的人员信息拆分，并分别填入 First Name、Last Name 和 Rank 列，同时保留原始数据；第2件：在 Employee_Age_By_Birthday.xlsx 中根据每位员工的生日计算对应年龄并填入目标区域。不同文件的规则别串在一起。”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E265"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265" s="50" t="str">
        <x:v>not_pass</x:v>
      </x:c>
      <x:c r="AG265" s="50" t="n">
        <x:v>0</x:v>
      </x:c>
    </x:row>
    <x:row r="266" ht="189" customHeight="1">
      <x:c r="A266" s="35" t="str">
        <x:v>V3_CM11_Q05</x:v>
      </x:c>
      <x:c r="B266" s="36" t="str">
        <x:v>SG_COMP_CM11</x:v>
      </x:c>
      <x:c r="C266" s="36" t="str">
        <x:v>CM11</x:v>
      </x:c>
      <x:c r="D266" s="36" t="str">
        <x:v>员工姓名职级与年龄</x:v>
      </x:c>
      <x:c r="E266" s="36" t="str">
        <x:v>complementary_multi_memory</x:v>
      </x:c>
      <x:c r="F266" s="36" t="str">
        <x:v>human_constraint_emphasis</x:v>
      </x:c>
      <x:c r="G266" s="36" t="str">
        <x:v>challenge</x:v>
      </x:c>
      <x:c r="H266" s="36" t="str">
        <x:v>困难</x:v>
      </x:c>
      <x:c r="I266" s="36" t="str">
        <x:v>37608790-6147-45d0-9f20-1137bb35703d|4e6fcf72-daf3-439f-a232-c434ce416af6</x:v>
      </x:c>
      <x:c r="J266" s="36" t="str">
        <x:v>CTX_37608790-6147-45d0-9f20-1137bb35703d|CTX_4e6fcf72-daf3-439f-a232-c434ce416af6</x:v>
      </x:c>
      <x:c r="K266" s="36" t="str">
        <x:v>STM_37608790-6147-45d0-9f20-1137bb35703d|MTM_4e6fcf72-daf3-439f-a232-c434ce416af6</x:v>
      </x:c>
      <x:c r="L266" s="36" t="str"/>
      <x:c r="M266" s="36" t="str"/>
      <x:c r="N266" s="36" t="str">
        <x:v>工作流程|知识</x:v>
      </x:c>
      <x:c r="O266" s="36" t="str">
        <x:v>短期|中期</x:v>
      </x:c>
      <x:c r="P266" s="36" t="str">
        <x:v>["libreoffice_calc"]</x:v>
      </x:c>
      <x:c r="Q266" s="36" t="str">
        <x:v>[{"step_id":"S1","app":"libreoffice_calc","action_key":"split_employee_identity_fields","input_artifacts":["Employee_Roles_and_Ranks.xlsx"],"output_artifacts":["Employee_Roles_and_Ranks.xlsx"],"depends_on":[]},{"step_id":"S2","app":"libreoffice_calc","action_key":"calculate_employee_ages","input_artifacts":["Employee_Age_By_Birthday.xlsx"],"output_artifacts":["Employee_Age_By_Birthday.xlsx"],"depends_on":[]}]</x:v>
      </x:c>
      <x:c r="R266" s="36" t="str">
        <x:v>[]</x:v>
      </x:c>
      <x:c r="S266" s="36" t="str">
        <x:v>split_employee_identity_fields|calculate_employee_ages</x:v>
      </x:c>
      <x:c r="T266" s="36" t="str">
        <x:v>Employee_Roles_and_Ranks.xlsx|Employee_Age_By_Birthday.xlsx</x:v>
      </x:c>
      <x:c r="U266" s="36" t="str">
        <x:v>retrieve_and_synthesize</x:v>
      </x:c>
      <x:c r="V266" s="36" t="str">
        <x:v>[{"point_id":"P1","description":"在 Employee_Roles_and_Ranks.xlsx 中，把混在一个字段里的人员信息拆分，并分别填入 First Name、Last Name 和 Rank 列，同时保留原始数据。","weight":0.45,"evidence_memory_ids":["STM_37608790-6147-45d0-9f20-1137bb35703d"]},{"point_id":"P2","description":"在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37608790-6147-45d0-9f20-1137bb35703d","MTM_4e6fcf72-daf3-439f-a232-c434ce416af6"]}]</x:v>
      </x:c>
      <x:c r="W266" s="36" t="str">
        <x:v>1.00</x:v>
      </x:c>
      <x:c r="X266" s="39" t="str">
        <x:v>这次按文件分别处理，要求如下：第1件：在 Employee_Roles_and_Ranks.xlsx 中，把混在一个字段里的人员信息拆分，并分别填入 First Name、Last Name 和 Rank 列，同时保留原始数据；第2件：在 Employee_Age_By_Birthday.xlsx 中根据每位员工的生日计算对应年龄并填入目标区域。</x:v>
      </x:c>
      <x:c r="Y266" s="39" t="str">
        <x:v>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x:v>
      </x:c>
      <x:c r="Z266" s="39" t="str">
        <x:v>不适用：当前题目不存在需要用户进一步选择的候选记忆。</x:v>
      </x:c>
      <x:c r="AA266" s="39" t="str">
        <x:v>不适用：当前题目没有指定需要排除的冲突或禁止记忆。</x:v>
      </x:c>
      <x:c r="AB266" s="39" t="str">
        <x:v>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C266"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第2项实际操作：在 Employee_Age_By_Birthday.xlsx 中根据每位员工的生日计算对应年龄并填入目标区域。执行时必须满足：覆盖所有员工；依据生日计算；不修改无关区域或其他空白单元格。</x:v>
      </x:c>
      <x:c r="AD266" s="39" t="str">
        <x:v>用户的完整请求是：“这次按文件分别处理，要求如下：第1件：在 Employee_Roles_and_Ranks.xlsx 中，把混在一个字段里的人员信息拆分，并分别填入 First Name、Last Name 和 Rank 列，同时保留原始数据；第2件：在 Employee_Age_By_Birthday.xlsx 中根据每位员工的生日计算对应年龄并填入目标区域。” 第1个当前上下文：Employee_Roles_and_Ranks.xlsx 已在 LibreOffice Calc 中打开。 第2个当前上下文：Employee_Age_By_Birthday.xlsx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列，同时保留原始数据；2）在 Employee_Age_By_Birthday.xlsx 中根据每位员工的生日计算对应年龄并填入目标区域。每项操作必须分别遵守其对应文件、工作表、范围、格式和输出约束，不能用其中一项替代另一项，也不能把不同文件的规则混用。”</x:v>
      </x:c>
      <x:c r="AE266"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266" s="50" t="str">
        <x:v>not_pass</x:v>
      </x:c>
      <x:c r="AG266" s="50" t="n">
        <x:v>0</x:v>
      </x:c>
    </x:row>
    <x:row r="267" ht="229.5" customHeight="1">
      <x:c r="A267" s="35" t="str">
        <x:v>V3_CM12_Q01</x:v>
      </x:c>
      <x:c r="B267" s="36" t="str">
        <x:v>SG_COMP_CM12</x:v>
      </x:c>
      <x:c r="C267" s="36" t="str">
        <x:v>CM12</x:v>
      </x:c>
      <x:c r="D267" s="36" t="str">
        <x:v>订单监控三表处理</x:v>
      </x:c>
      <x:c r="E267" s="36" t="str">
        <x:v>complementary_multi_memory</x:v>
      </x:c>
      <x:c r="F267" s="36" t="str">
        <x:v>human_context_explicit</x:v>
      </x:c>
      <x:c r="G267" s="36" t="str">
        <x:v>challenge</x:v>
      </x:c>
      <x:c r="H267" s="36" t="str">
        <x:v>困难</x:v>
      </x:c>
      <x:c r="I267" s="36" t="str">
        <x:v>2bd59342-0664-4ccb-ba87-79379096cc08|7efeb4b1-3d19-4762-b163-63328d66303b|ecb0df7a-4e8d-4a03-b162-053391d3afaf</x:v>
      </x:c>
      <x:c r="J267" s="36" t="str">
        <x:v>CTX_2bd59342-0664-4ccb-ba87-79379096cc08|CTX_7efeb4b1-3d19-4762-b163-63328d66303b|CTX_ecb0df7a-4e8d-4a03-b162-053391d3afaf</x:v>
      </x:c>
      <x:c r="K267" s="36" t="str">
        <x:v>STM_2bd59342-0664-4ccb-ba87-79379096cc08|MTM_7efeb4b1-3d19-4762-b163-63328d66303b|STM_ecb0df7a-4e8d-4a03-b162-053391d3afaf</x:v>
      </x:c>
      <x:c r="L267" s="36" t="str"/>
      <x:c r="M267" s="36" t="str"/>
      <x:c r="N267" s="36" t="str">
        <x:v>工作流程|可复用模板</x:v>
      </x:c>
      <x:c r="O267" s="36" t="str">
        <x:v>短期|中期</x:v>
      </x:c>
      <x:c r="P267" s="36" t="str">
        <x:v>["libreoffice_calc"]</x:v>
      </x:c>
      <x:c r="Q267" s="36" t="str">
        <x:v>[{"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x:v>
      </x:c>
      <x:c r="R267" s="36" t="str">
        <x:v>[]</x:v>
      </x:c>
      <x:c r="S267" s="36" t="str">
        <x:v>create_order_sparklines|fill_order_sequence_labels|add_pass_fail_held_validation</x:v>
      </x:c>
      <x:c r="T267" s="36" t="str">
        <x:v>OrderId_Month_Chart.xlsx|Order_Sales_Serial#.xlsx|Order_Id_Mark_Pass_Fail.xlsx</x:v>
      </x:c>
      <x:c r="U267" s="36" t="str">
        <x:v>retrieve_and_synthesize</x:v>
      </x:c>
      <x:c r="V267" s="36" t="str">
        <x:v>[{"point_id":"P1","description":"在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x:v>
      </x:c>
      <x:c r="W267" s="36" t="str">
        <x:v>1.00</x:v>
      </x:c>
      <x:c r="X267" s="39" t="str">
        <x:v>我今天要一起处理这批表。先做第1件事：在 OrderId_Month_Chart.xlsx 的 Chart 列中，为每个订单编号使用 1 月至 3 月数据创建迷你图；再做第2件事：在 Order_Sales_Serial#.xlsx 的 Seq No. 列中按顺序填入 No. # 格式的序号；再做第3件事：在 Order_Id_Mark_Pass_Fail.xlsx 的 Pass/Fail/Held 列应用数据验证，为每个目标单元格提供 Pass、Fail、Held 三个可选值的下拉列表。都按各自原来的规则完成。</x:v>
      </x:c>
      <x:c r="Y267"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Z267" s="39" t="str">
        <x:v>不适用：当前题目不存在需要用户进一步选择的候选记忆。</x:v>
      </x:c>
      <x:c r="AA267" s="39" t="str">
        <x:v>不适用：当前题目没有指定需要排除的冲突或禁止记忆。</x:v>
      </x:c>
      <x:c r="AB267" s="39" t="str">
        <x:v>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C267" s="39" t="str">
        <x:v>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x:v>
      </x:c>
      <x:c r="AD267" s="39" t="str">
        <x:v>用户的完整请求是：“我今天要一起处理这批表。先做第1件事：在 OrderId_Month_Chart.xlsx 的 Chart 列中，为每个订单编号使用 1 月至 3 月数据创建迷你图；再做第2件事：在 Order_Sales_Serial#.xlsx 的 Seq No. 列中按顺序填入 No. # 格式的序号；再做第3件事：在 Order_Id_Mark_Pass_Fail.xlsx 的 Pass/Fail/Held 列应用数据验证，为每个目标单元格提供 Pass、Fail、Held 三个可选值的下拉列表。都按各自原来的规则完成。”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E267" s="39" t="str">
        <x:v>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67" s="50" t="str">
        <x:v>not_pass</x:v>
      </x:c>
      <x:c r="AG267" s="50" t="n">
        <x:v>0</x:v>
      </x:c>
    </x:row>
    <x:row r="268" ht="229.5" customHeight="1">
      <x:c r="A268" s="35" t="str">
        <x:v>V3_CM12_Q02</x:v>
      </x:c>
      <x:c r="B268" s="36" t="str">
        <x:v>SG_COMP_CM12</x:v>
      </x:c>
      <x:c r="C268" s="36" t="str">
        <x:v>CM12</x:v>
      </x:c>
      <x:c r="D268" s="36" t="str">
        <x:v>订单监控三表处理</x:v>
      </x:c>
      <x:c r="E268" s="36" t="str">
        <x:v>complementary_multi_memory</x:v>
      </x:c>
      <x:c r="F268" s="36" t="str">
        <x:v>human_goal_oriented</x:v>
      </x:c>
      <x:c r="G268" s="36" t="str">
        <x:v>challenge</x:v>
      </x:c>
      <x:c r="H268" s="36" t="str">
        <x:v>困难</x:v>
      </x:c>
      <x:c r="I268" s="36" t="str">
        <x:v>2bd59342-0664-4ccb-ba87-79379096cc08|7efeb4b1-3d19-4762-b163-63328d66303b|ecb0df7a-4e8d-4a03-b162-053391d3afaf</x:v>
      </x:c>
      <x:c r="J268" s="36" t="str">
        <x:v>CTX_2bd59342-0664-4ccb-ba87-79379096cc08|CTX_7efeb4b1-3d19-4762-b163-63328d66303b|CTX_ecb0df7a-4e8d-4a03-b162-053391d3afaf</x:v>
      </x:c>
      <x:c r="K268" s="36" t="str">
        <x:v>STM_2bd59342-0664-4ccb-ba87-79379096cc08|MTM_7efeb4b1-3d19-4762-b163-63328d66303b|STM_ecb0df7a-4e8d-4a03-b162-053391d3afaf</x:v>
      </x:c>
      <x:c r="L268" s="36" t="str"/>
      <x:c r="M268" s="36" t="str"/>
      <x:c r="N268" s="36" t="str">
        <x:v>工作流程|可复用模板</x:v>
      </x:c>
      <x:c r="O268" s="36" t="str">
        <x:v>短期|中期</x:v>
      </x:c>
      <x:c r="P268" s="36" t="str">
        <x:v>["libreoffice_calc"]</x:v>
      </x:c>
      <x:c r="Q268" s="36" t="str">
        <x:v>[{"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x:v>
      </x:c>
      <x:c r="R268" s="36" t="str">
        <x:v>[]</x:v>
      </x:c>
      <x:c r="S268" s="36" t="str">
        <x:v>create_order_sparklines|fill_order_sequence_labels|add_pass_fail_held_validation</x:v>
      </x:c>
      <x:c r="T268" s="36" t="str">
        <x:v>OrderId_Month_Chart.xlsx|Order_Sales_Serial#.xlsx|Order_Id_Mark_Pass_Fail.xlsx</x:v>
      </x:c>
      <x:c r="U268" s="36" t="str">
        <x:v>retrieve_and_synthesize</x:v>
      </x:c>
      <x:c r="V268" s="36" t="str">
        <x:v>[{"point_id":"P1","description":"在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x:v>
      </x:c>
      <x:c r="W268" s="36" t="str">
        <x:v>1.00</x:v>
      </x:c>
      <x:c r="X268" s="39" t="str">
        <x:v>这批文件马上要交付，帮我把几项工作一起收尾：第1件：在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x:v>
      </x:c>
      <x:c r="Y268"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Z268" s="39" t="str">
        <x:v>不适用：当前题目不存在需要用户进一步选择的候选记忆。</x:v>
      </x:c>
      <x:c r="AA268" s="39" t="str">
        <x:v>不适用：当前题目没有指定需要排除的冲突或禁止记忆。</x:v>
      </x:c>
      <x:c r="AB268" s="39" t="str">
        <x:v>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C268" s="39" t="str">
        <x:v>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x:v>
      </x:c>
      <x:c r="AD268" s="39" t="str">
        <x:v>用户的完整请求是：“这批文件马上要交付，帮我把几项工作一起收尾：第1件：在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E268" s="39" t="str">
        <x:v>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68" s="50" t="str">
        <x:v>not_pass</x:v>
      </x:c>
      <x:c r="AG268" s="50" t="n">
        <x:v>0</x:v>
      </x:c>
    </x:row>
    <x:row r="269" ht="229.5" customHeight="1">
      <x:c r="A269" s="35" t="str">
        <x:v>V3_CM12_Q03</x:v>
      </x:c>
      <x:c r="B269" s="36" t="str">
        <x:v>SG_COMP_CM12</x:v>
      </x:c>
      <x:c r="C269" s="36" t="str">
        <x:v>CM12</x:v>
      </x:c>
      <x:c r="D269" s="36" t="str">
        <x:v>订单监控三表处理</x:v>
      </x:c>
      <x:c r="E269" s="36" t="str">
        <x:v>complementary_multi_memory</x:v>
      </x:c>
      <x:c r="F269" s="36" t="str">
        <x:v>contextual_ellipsis</x:v>
      </x:c>
      <x:c r="G269" s="36" t="str">
        <x:v>challenge</x:v>
      </x:c>
      <x:c r="H269" s="36" t="str">
        <x:v>困难</x:v>
      </x:c>
      <x:c r="I269" s="36" t="str">
        <x:v>2bd59342-0664-4ccb-ba87-79379096cc08|7efeb4b1-3d19-4762-b163-63328d66303b|ecb0df7a-4e8d-4a03-b162-053391d3afaf</x:v>
      </x:c>
      <x:c r="J269" s="36" t="str">
        <x:v>CTX_2bd59342-0664-4ccb-ba87-79379096cc08|CTX_7efeb4b1-3d19-4762-b163-63328d66303b|CTX_ecb0df7a-4e8d-4a03-b162-053391d3afaf</x:v>
      </x:c>
      <x:c r="K269" s="36" t="str">
        <x:v>STM_2bd59342-0664-4ccb-ba87-79379096cc08|MTM_7efeb4b1-3d19-4762-b163-63328d66303b|STM_ecb0df7a-4e8d-4a03-b162-053391d3afaf</x:v>
      </x:c>
      <x:c r="L269" s="36" t="str"/>
      <x:c r="M269" s="36" t="str"/>
      <x:c r="N269" s="36" t="str">
        <x:v>工作流程|可复用模板</x:v>
      </x:c>
      <x:c r="O269" s="36" t="str">
        <x:v>短期|中期</x:v>
      </x:c>
      <x:c r="P269" s="36" t="str">
        <x:v>["libreoffice_calc"]</x:v>
      </x:c>
      <x:c r="Q269" s="36" t="str">
        <x:v>[{"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x:v>
      </x:c>
      <x:c r="R269" s="36" t="str">
        <x:v>[]</x:v>
      </x:c>
      <x:c r="S269" s="36" t="str">
        <x:v>create_order_sparklines|fill_order_sequence_labels|add_pass_fail_held_validation</x:v>
      </x:c>
      <x:c r="T269" s="36" t="str">
        <x:v>OrderId_Month_Chart.xlsx|Order_Sales_Serial#.xlsx|Order_Id_Mark_Pass_Fail.xlsx</x:v>
      </x:c>
      <x:c r="U269" s="36" t="str">
        <x:v>retrieve_and_synthesize</x:v>
      </x:c>
      <x:c r="V269" s="36" t="str">
        <x:v>[{"point_id":"P1","description":"在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x:v>
      </x:c>
      <x:c r="W269" s="36" t="str">
        <x:v>1.00</x:v>
      </x:c>
      <x:c r="X269" s="39" t="str">
        <x:v>相关工作表我都打开了，接着分别处理：第1件：在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x:v>
      </x:c>
      <x:c r="Y269"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Z269" s="39" t="str">
        <x:v>不适用：当前题目不存在需要用户进一步选择的候选记忆。</x:v>
      </x:c>
      <x:c r="AA269" s="39" t="str">
        <x:v>不适用：当前题目没有指定需要排除的冲突或禁止记忆。</x:v>
      </x:c>
      <x:c r="AB269" s="39" t="str">
        <x:v>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C269" s="39" t="str">
        <x:v>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x:v>
      </x:c>
      <x:c r="AD269" s="39" t="str">
        <x:v>用户的完整请求是：“相关工作表我都打开了，接着分别处理：第1件：在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E269" s="39" t="str">
        <x:v>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69" s="50" t="str">
        <x:v>not_pass</x:v>
      </x:c>
      <x:c r="AG269" s="50" t="n">
        <x:v>0</x:v>
      </x:c>
    </x:row>
    <x:row r="270" ht="229.5" customHeight="1">
      <x:c r="A270" s="35" t="str">
        <x:v>V3_CM12_Q04</x:v>
      </x:c>
      <x:c r="B270" s="36" t="str">
        <x:v>SG_COMP_CM12</x:v>
      </x:c>
      <x:c r="C270" s="36" t="str">
        <x:v>CM12</x:v>
      </x:c>
      <x:c r="D270" s="36" t="str">
        <x:v>订单监控三表处理</x:v>
      </x:c>
      <x:c r="E270" s="36" t="str">
        <x:v>complementary_multi_memory</x:v>
      </x:c>
      <x:c r="F270" s="36" t="str">
        <x:v>low_overlap_paraphrase</x:v>
      </x:c>
      <x:c r="G270" s="36" t="str">
        <x:v>challenge</x:v>
      </x:c>
      <x:c r="H270" s="36" t="str">
        <x:v>困难</x:v>
      </x:c>
      <x:c r="I270" s="36" t="str">
        <x:v>2bd59342-0664-4ccb-ba87-79379096cc08|7efeb4b1-3d19-4762-b163-63328d66303b|ecb0df7a-4e8d-4a03-b162-053391d3afaf</x:v>
      </x:c>
      <x:c r="J270" s="36" t="str">
        <x:v>CTX_2bd59342-0664-4ccb-ba87-79379096cc08|CTX_7efeb4b1-3d19-4762-b163-63328d66303b|CTX_ecb0df7a-4e8d-4a03-b162-053391d3afaf</x:v>
      </x:c>
      <x:c r="K270" s="36" t="str">
        <x:v>STM_2bd59342-0664-4ccb-ba87-79379096cc08|MTM_7efeb4b1-3d19-4762-b163-63328d66303b|STM_ecb0df7a-4e8d-4a03-b162-053391d3afaf</x:v>
      </x:c>
      <x:c r="L270" s="36" t="str"/>
      <x:c r="M270" s="36" t="str"/>
      <x:c r="N270" s="36" t="str">
        <x:v>工作流程|可复用模板</x:v>
      </x:c>
      <x:c r="O270" s="36" t="str">
        <x:v>短期|中期</x:v>
      </x:c>
      <x:c r="P270" s="36" t="str">
        <x:v>["libreoffice_calc"]</x:v>
      </x:c>
      <x:c r="Q270" s="36" t="str">
        <x:v>[{"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x:v>
      </x:c>
      <x:c r="R270" s="36" t="str">
        <x:v>[]</x:v>
      </x:c>
      <x:c r="S270" s="36" t="str">
        <x:v>create_order_sparklines|fill_order_sequence_labels|add_pass_fail_held_validation</x:v>
      </x:c>
      <x:c r="T270" s="36" t="str">
        <x:v>OrderId_Month_Chart.xlsx|Order_Sales_Serial#.xlsx|Order_Id_Mark_Pass_Fail.xlsx</x:v>
      </x:c>
      <x:c r="U270" s="36" t="str">
        <x:v>retrieve_and_synthesize</x:v>
      </x:c>
      <x:c r="V270" s="36" t="str">
        <x:v>[{"point_id":"P1","description":"在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x:v>
      </x:c>
      <x:c r="W270" s="36" t="str">
        <x:v>1.00</x:v>
      </x:c>
      <x:c r="X270" s="39" t="str">
        <x:v>我想一次把这批工作做完：第1件：在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三个可选值的下拉列表。不同文件的规则别串在一起。</x:v>
      </x:c>
      <x:c r="Y270"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Z270" s="39" t="str">
        <x:v>不适用：当前题目不存在需要用户进一步选择的候选记忆。</x:v>
      </x:c>
      <x:c r="AA270" s="39" t="str">
        <x:v>不适用：当前题目没有指定需要排除的冲突或禁止记忆。</x:v>
      </x:c>
      <x:c r="AB270" s="39" t="str">
        <x:v>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C270" s="39" t="str">
        <x:v>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x:v>
      </x:c>
      <x:c r="AD270" s="39" t="str">
        <x:v>用户的完整请求是：“我想一次把这批工作做完：第1件：在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三个可选值的下拉列表。不同文件的规则别串在一起。”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E270" s="39" t="str">
        <x:v>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70" s="50" t="str">
        <x:v>not_pass</x:v>
      </x:c>
      <x:c r="AG270" s="50" t="n">
        <x:v>0</x:v>
      </x:c>
    </x:row>
    <x:row r="271" ht="229.5" customHeight="1">
      <x:c r="A271" s="35" t="str">
        <x:v>V3_CM12_Q05</x:v>
      </x:c>
      <x:c r="B271" s="36" t="str">
        <x:v>SG_COMP_CM12</x:v>
      </x:c>
      <x:c r="C271" s="36" t="str">
        <x:v>CM12</x:v>
      </x:c>
      <x:c r="D271" s="36" t="str">
        <x:v>订单监控三表处理</x:v>
      </x:c>
      <x:c r="E271" s="36" t="str">
        <x:v>complementary_multi_memory</x:v>
      </x:c>
      <x:c r="F271" s="36" t="str">
        <x:v>human_constraint_emphasis</x:v>
      </x:c>
      <x:c r="G271" s="36" t="str">
        <x:v>challenge</x:v>
      </x:c>
      <x:c r="H271" s="36" t="str">
        <x:v>困难</x:v>
      </x:c>
      <x:c r="I271" s="36" t="str">
        <x:v>2bd59342-0664-4ccb-ba87-79379096cc08|7efeb4b1-3d19-4762-b163-63328d66303b|ecb0df7a-4e8d-4a03-b162-053391d3afaf</x:v>
      </x:c>
      <x:c r="J271" s="36" t="str">
        <x:v>CTX_2bd59342-0664-4ccb-ba87-79379096cc08|CTX_7efeb4b1-3d19-4762-b163-63328d66303b|CTX_ecb0df7a-4e8d-4a03-b162-053391d3afaf</x:v>
      </x:c>
      <x:c r="K271" s="36" t="str">
        <x:v>STM_2bd59342-0664-4ccb-ba87-79379096cc08|MTM_7efeb4b1-3d19-4762-b163-63328d66303b|STM_ecb0df7a-4e8d-4a03-b162-053391d3afaf</x:v>
      </x:c>
      <x:c r="L271" s="36" t="str"/>
      <x:c r="M271" s="36" t="str"/>
      <x:c r="N271" s="36" t="str">
        <x:v>工作流程|可复用模板</x:v>
      </x:c>
      <x:c r="O271" s="36" t="str">
        <x:v>短期|中期</x:v>
      </x:c>
      <x:c r="P271" s="36" t="str">
        <x:v>["libreoffice_calc"]</x:v>
      </x:c>
      <x:c r="Q271" s="36" t="str">
        <x:v>[{"step_id":"S1","app":"libreoffice_calc","action_key":"create_order_sparklines","input_artifacts":["OrderId_Month_Chart.xlsx"],"output_artifacts":["OrderId_Month_Chart.xlsx"],"depends_on":[]},{"step_id":"S2","app":"libreoffice_calc","action_key":"fill_order_sequence_labels","input_artifacts":["Order_Sales_Serial#.xlsx"],"output_artifacts":["Order_Sales_Serial#.xlsx"],"depends_on":[]},{"step_id":"S3","app":"libreoffice_calc","action_key":"add_pass_fail_held_validation","input_artifacts":["Order_Id_Mark_Pass_Fail.xlsx"],"output_artifacts":["Order_Id_Mark_Pass_Fail.xlsx"],"depends_on":[]}]</x:v>
      </x:c>
      <x:c r="R271" s="36" t="str">
        <x:v>[]</x:v>
      </x:c>
      <x:c r="S271" s="36" t="str">
        <x:v>create_order_sparklines|fill_order_sequence_labels|add_pass_fail_held_validation</x:v>
      </x:c>
      <x:c r="T271" s="36" t="str">
        <x:v>OrderId_Month_Chart.xlsx|Order_Sales_Serial#.xlsx|Order_Id_Mark_Pass_Fail.xlsx</x:v>
      </x:c>
      <x:c r="U271" s="36" t="str">
        <x:v>retrieve_and_synthesize</x:v>
      </x:c>
      <x:c r="V271" s="36" t="str">
        <x:v>[{"point_id":"P1","description":"在 OrderId_Month_Chart.xlsx 的 Chart 列中，为每个订单编号使用 1 月至 3 月数据创建迷你图。","weight":0.3,"evidence_memory_ids":["STM_2bd59342-0664-4ccb-ba87-79379096cc08"]},{"point_id":"P2","description":"在 Order_Sales_Serial#.xlsx 的 Seq No. 列中按顺序填入 No. # 格式的序号。","weight":0.3,"evidence_memory_ids":["MTM_7efeb4b1-3d19-4762-b163-63328d66303b"]},{"point_id":"P3","description":"在 Order_Id_Mark_Pass_Fail.xlsx 的 Pass/Fail/Held 列应用数据验证，为每个目标单元格提供 Pass、Fail、Held 三个可选值的下拉列表。","weight":0.3,"evidence_memory_ids":["STM_ecb0df7a-4e8d-4a03-b162-053391d3afaf"]},{"point_id":"P4","description":"各文件和各步骤的规则不串用，不增加无来源操作","weight":0.1,"evidence_memory_ids":["STM_2bd59342-0664-4ccb-ba87-79379096cc08","MTM_7efeb4b1-3d19-4762-b163-63328d66303b","STM_ecb0df7a-4e8d-4a03-b162-053391d3afaf"]}]</x:v>
      </x:c>
      <x:c r="W271" s="36" t="str">
        <x:v>1.00</x:v>
      </x:c>
      <x:c r="X271" s="39" t="str">
        <x:v>这次按文件分别处理，要求如下：第1件：在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x:v>
      </x:c>
      <x:c r="Y271"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Z271" s="39" t="str">
        <x:v>不适用：当前题目不存在需要用户进一步选择的候选记忆。</x:v>
      </x:c>
      <x:c r="AA271" s="39" t="str">
        <x:v>不适用：当前题目没有指定需要排除的冲突或禁止记忆。</x:v>
      </x:c>
      <x:c r="AB271" s="39" t="str">
        <x:v>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C271" s="39" t="str">
        <x:v>第1项实际操作：在 OrderId_Month_Chart.xlsx 的 Chart 列中，为每个订单编号使用 1 月至 3 月数据创建迷你图。执行时必须满足：每个 Order ID 一张迷你图；数据范围仅为 Jan-Mar；结果位于 Chart 列。 第2项实际操作：在 Order_Sales_Serial#.xlsx 的 Seq No. 列中按顺序填入 No. # 格式的序号。执行时必须满足：序号位于 Seq No. 列；格式为 No. 后接顺序编号；不修改无关区域。 第3项实际操作：在 Order_Id_Mark_Pass_Fail.xlsx 的 Pass/Fail/Held 列应用数据验证，为每个目标单元格提供 Pass、Fail、Held 三个可选值的下拉列表。执行时必须满足：下拉选项只能是 Pass、Fail、Held；作用于目标列；不修改无关区域。</x:v>
      </x:c>
      <x:c r="AD271" s="39" t="str">
        <x:v>用户的完整请求是：“这次按文件分别处理，要求如下：第1件：在 OrderId_Month_Chart.xlsx 的 Chart 列中，为每个订单编号使用 1 月至 3 月数据创建迷你图；第2件：在 Order_Sales_Serial#.xlsx 的 Seq No. 列中按顺序填入 No. # 格式的序号；第3件：在 Order_Id_Mark_Pass_Fail.xlsx 的 Pass/Fail/Held 列应用数据验证，为每个目标单元格提供 Pass、Fail、Held 三个可选值的下拉列表。” 第1个当前上下文：OrderId_Month_Chart.xlsx 已在 LibreOffice Calc 中打开。 第2个当前上下文：Order_Sales_Serial#.xlsx 已在 LibreOffice Calc 中打开。 第3个当前上下文：Order_Id_Mark_Pass_Fail.xlsx 已在 LibreOffice Calc 中打开。 当前请求要求在同一轮工作中得到多个结果。能够支持这些结果的完整必需记忆如下：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三个可选值的下拉列表。每项操作必须分别遵守其对应文件、工作表、范围、格式和输出约束，不能用其中一项替代另一项，也不能把不同文件的规则混用。”</x:v>
      </x:c>
      <x:c r="AE271" s="39" t="str">
        <x:v>本题总分为 1.00 分，各得分点独立累计，允许语义等价表达，不要求模型输出记忆 ID，也不要求逐字复述记忆原文。
第1个得分点（0.30分）：在 OrderId_Month_Chart.xlsx 的 Chart 列中，为每个订单编号使用 1 月至 3 月数据创建迷你图。该得分点所依据的完整证据为：
第1条记忆（短期/工作流程）：在 OrderId_Month_Chart.xlsx 的 Chart 列中，为每个订单编号使用 1 月至 3 月数据创建迷你图。关键约束：每个 Order ID 一张迷你图；数据范围仅为 Jan-Mar；结果位于 Chart 列。
第2个得分点（0.30分）：在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第3个得分点（0.30分）：在 Order_Id_Mark_Pass_Fail.xlsx 的 Pass/Fail/Held 列应用数据验证，为每个目标单元格提供 Pass、Fail、Held 三个可选值的下拉列表。该得分点所依据的完整证据为：
第1条记忆（短期/工作流程）：在 Order_Id_Mark_Pass_Fail.xlsx 的 Pass/Fail/Held 列应用数据验证，为每个目标单元格提供 Pass、Fail、Held 三个可选值的下拉列表。关键约束：下拉选项只能是 Pass、Fail、Held；作用于目标列；不修改无关区域。
第4个得分点（0.10分）：各文件和各步骤的规则不串用，不增加无来源操作。该得分点所依据的完整证据为：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271" s="50" t="str">
        <x:v>not_pass</x:v>
      </x:c>
      <x:c r="AG271" s="50" t="n">
        <x:v>0</x:v>
      </x:c>
    </x:row>
    <x:row r="272" ht="189" customHeight="1">
      <x:c r="A272" s="35" t="str">
        <x:v>V3_CM13_Q01</x:v>
      </x:c>
      <x:c r="B272" s="36" t="str">
        <x:v>SG_COMP_CM13</x:v>
      </x:c>
      <x:c r="C272" s="36" t="str">
        <x:v>CM13</x:v>
      </x:c>
      <x:c r="D272" s="36" t="str">
        <x:v>促销与销售渠道透视汇总</x:v>
      </x:c>
      <x:c r="E272" s="36" t="str">
        <x:v>complementary_multi_memory</x:v>
      </x:c>
      <x:c r="F272" s="36" t="str">
        <x:v>human_context_explicit</x:v>
      </x:c>
      <x:c r="G272" s="36" t="str">
        <x:v>challenge</x:v>
      </x:c>
      <x:c r="H272" s="36" t="str">
        <x:v>困难</x:v>
      </x:c>
      <x:c r="I272" s="36" t="str">
        <x:v>1de60575-bb6e-4c3d-9e6a-2fa699f9f197|535364ea-05bd-46ea-9937-9f55c68507e8</x:v>
      </x:c>
      <x:c r="J272" s="36" t="str">
        <x:v>CTX_1de60575-bb6e-4c3d-9e6a-2fa699f9f197|CTX_535364ea-05bd-46ea-9937-9f55c68507e8</x:v>
      </x:c>
      <x:c r="K272" s="36" t="str">
        <x:v>STM_1de60575-bb6e-4c3d-9e6a-2fa699f9f197|LTM_535364ea-05bd-46ea-9937-9f55c68507e8</x:v>
      </x:c>
      <x:c r="L272" s="36" t="str"/>
      <x:c r="M272" s="36" t="str"/>
      <x:c r="N272" s="36" t="str">
        <x:v>工作流程|可复用模板</x:v>
      </x:c>
      <x:c r="O272" s="36" t="str">
        <x:v>短期|长期</x:v>
      </x:c>
      <x:c r="P272" s="36" t="str">
        <x:v>["libreoffice_calc"]</x:v>
      </x:c>
      <x:c r="Q272" s="36" t="str">
        <x:v>[{"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x:v>
      </x:c>
      <x:c r="R272" s="36" t="str">
        <x:v>[]</x:v>
      </x:c>
      <x:c r="S272" s="36" t="str">
        <x:v>create_promotion_revenue_pivot|create_product_and_channel_revenue_pivots</x:v>
      </x:c>
      <x:c r="T272" s="36" t="str">
        <x:v>EntireSummerSales.xlsx|SummerSales.xlsx</x:v>
      </x:c>
      <x:c r="U272" s="36" t="str">
        <x:v>retrieve_and_synthesize</x:v>
      </x:c>
      <x:c r="V272" s="36" t="str">
        <x:v>[{"point_id":"P1","description":"在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x:v>
      </x:c>
      <x:c r="W272" s="36" t="str">
        <x:v>1.00</x:v>
      </x:c>
      <x:c r="X272" s="39" t="str">
        <x:v>我今天要一起处理这批表。先做第1件事：在 EntireSummerSales.xlsx 新建 Sheet2，用数据透视表汇总每种 promotion type 的总 revenue，并将促销名称作为列标题；再做第2件事：在 SummerSales.xlsx 新建 Sheet2，创建两张数据透视表，分别汇总每种产品的总收入和每个销售渠道的总收入。都按各自原来的规则完成。</x:v>
      </x:c>
      <x:c r="Y272" s="39" t="str">
        <x:v>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x:v>
      </x:c>
      <x:c r="Z272" s="39" t="str">
        <x:v>不适用：当前题目不存在需要用户进一步选择的候选记忆。</x:v>
      </x:c>
      <x:c r="AA272" s="39" t="str">
        <x:v>不适用：当前题目没有指定需要排除的冲突或禁止记忆。</x:v>
      </x:c>
      <x:c r="AB272" s="39" t="str">
        <x:v>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272" s="39" t="str">
        <x:v>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x:v>
      </x:c>
      <x:c r="AD272" s="39" t="str">
        <x:v>用户的完整请求是：“我今天要一起处理这批表。先做第1件事：在 EntireSummerSales.xlsx 新建 Sheet2，用数据透视表汇总每种 promotion type 的总 revenue，并将促销名称作为列标题；再做第2件事：在 SummerSales.xlsx 新建 Sheet2，创建两张数据透视表，分别汇总每种产品的总收入和每个销售渠道的总收入。都按各自原来的规则完成。”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272" s="39" t="str">
        <x:v>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272" s="50" t="str">
        <x:v>not_pass</x:v>
      </x:c>
      <x:c r="AG272" s="50" t="n">
        <x:v>0</x:v>
      </x:c>
    </x:row>
    <x:row r="273" ht="189" customHeight="1">
      <x:c r="A273" s="35" t="str">
        <x:v>V3_CM13_Q02</x:v>
      </x:c>
      <x:c r="B273" s="36" t="str">
        <x:v>SG_COMP_CM13</x:v>
      </x:c>
      <x:c r="C273" s="36" t="str">
        <x:v>CM13</x:v>
      </x:c>
      <x:c r="D273" s="36" t="str">
        <x:v>促销与销售渠道透视汇总</x:v>
      </x:c>
      <x:c r="E273" s="36" t="str">
        <x:v>complementary_multi_memory</x:v>
      </x:c>
      <x:c r="F273" s="36" t="str">
        <x:v>human_goal_oriented</x:v>
      </x:c>
      <x:c r="G273" s="36" t="str">
        <x:v>challenge</x:v>
      </x:c>
      <x:c r="H273" s="36" t="str">
        <x:v>困难</x:v>
      </x:c>
      <x:c r="I273" s="36" t="str">
        <x:v>1de60575-bb6e-4c3d-9e6a-2fa699f9f197|535364ea-05bd-46ea-9937-9f55c68507e8</x:v>
      </x:c>
      <x:c r="J273" s="36" t="str">
        <x:v>CTX_1de60575-bb6e-4c3d-9e6a-2fa699f9f197|CTX_535364ea-05bd-46ea-9937-9f55c68507e8</x:v>
      </x:c>
      <x:c r="K273" s="36" t="str">
        <x:v>STM_1de60575-bb6e-4c3d-9e6a-2fa699f9f197|LTM_535364ea-05bd-46ea-9937-9f55c68507e8</x:v>
      </x:c>
      <x:c r="L273" s="36" t="str"/>
      <x:c r="M273" s="36" t="str"/>
      <x:c r="N273" s="36" t="str">
        <x:v>工作流程|可复用模板</x:v>
      </x:c>
      <x:c r="O273" s="36" t="str">
        <x:v>短期|长期</x:v>
      </x:c>
      <x:c r="P273" s="36" t="str">
        <x:v>["libreoffice_calc"]</x:v>
      </x:c>
      <x:c r="Q273" s="36" t="str">
        <x:v>[{"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x:v>
      </x:c>
      <x:c r="R273" s="36" t="str">
        <x:v>[]</x:v>
      </x:c>
      <x:c r="S273" s="36" t="str">
        <x:v>create_promotion_revenue_pivot|create_product_and_channel_revenue_pivots</x:v>
      </x:c>
      <x:c r="T273" s="36" t="str">
        <x:v>EntireSummerSales.xlsx|SummerSales.xlsx</x:v>
      </x:c>
      <x:c r="U273" s="36" t="str">
        <x:v>retrieve_and_synthesize</x:v>
      </x:c>
      <x:c r="V273" s="36" t="str">
        <x:v>[{"point_id":"P1","description":"在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x:v>
      </x:c>
      <x:c r="W273" s="36" t="str">
        <x:v>1.00</x:v>
      </x:c>
      <x:c r="X273" s="39" t="str">
        <x:v>这批文件马上要交付，帮我把几项工作一起收尾：第1件：在 EntireSummerSales.xlsx 新建 Sheet2，用数据透视表汇总每种 promotion type 的总 revenue，并将促销名称作为列标题；第2件：在 SummerSales.xlsx 新建 Sheet2，创建两张数据透视表，分别汇总每种产品的总收入和每个销售渠道的总收入。</x:v>
      </x:c>
      <x:c r="Y273" s="39" t="str">
        <x:v>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x:v>
      </x:c>
      <x:c r="Z273" s="39" t="str">
        <x:v>不适用：当前题目不存在需要用户进一步选择的候选记忆。</x:v>
      </x:c>
      <x:c r="AA273" s="39" t="str">
        <x:v>不适用：当前题目没有指定需要排除的冲突或禁止记忆。</x:v>
      </x:c>
      <x:c r="AB273" s="39" t="str">
        <x:v>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273" s="39" t="str">
        <x:v>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x:v>
      </x:c>
      <x:c r="AD273" s="39" t="str">
        <x:v>用户的完整请求是：“这批文件马上要交付，帮我把几项工作一起收尾：第1件：在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273" s="39" t="str">
        <x:v>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273" s="50" t="str">
        <x:v>not_pass</x:v>
      </x:c>
      <x:c r="AG273" s="50" t="n">
        <x:v>0</x:v>
      </x:c>
    </x:row>
    <x:row r="274" ht="189" customHeight="1">
      <x:c r="A274" s="35" t="str">
        <x:v>V3_CM13_Q03</x:v>
      </x:c>
      <x:c r="B274" s="36" t="str">
        <x:v>SG_COMP_CM13</x:v>
      </x:c>
      <x:c r="C274" s="36" t="str">
        <x:v>CM13</x:v>
      </x:c>
      <x:c r="D274" s="36" t="str">
        <x:v>促销与销售渠道透视汇总</x:v>
      </x:c>
      <x:c r="E274" s="36" t="str">
        <x:v>complementary_multi_memory</x:v>
      </x:c>
      <x:c r="F274" s="36" t="str">
        <x:v>contextual_ellipsis</x:v>
      </x:c>
      <x:c r="G274" s="36" t="str">
        <x:v>challenge</x:v>
      </x:c>
      <x:c r="H274" s="36" t="str">
        <x:v>困难</x:v>
      </x:c>
      <x:c r="I274" s="36" t="str">
        <x:v>1de60575-bb6e-4c3d-9e6a-2fa699f9f197|535364ea-05bd-46ea-9937-9f55c68507e8</x:v>
      </x:c>
      <x:c r="J274" s="36" t="str">
        <x:v>CTX_1de60575-bb6e-4c3d-9e6a-2fa699f9f197|CTX_535364ea-05bd-46ea-9937-9f55c68507e8</x:v>
      </x:c>
      <x:c r="K274" s="36" t="str">
        <x:v>STM_1de60575-bb6e-4c3d-9e6a-2fa699f9f197|LTM_535364ea-05bd-46ea-9937-9f55c68507e8</x:v>
      </x:c>
      <x:c r="L274" s="36" t="str"/>
      <x:c r="M274" s="36" t="str"/>
      <x:c r="N274" s="36" t="str">
        <x:v>工作流程|可复用模板</x:v>
      </x:c>
      <x:c r="O274" s="36" t="str">
        <x:v>短期|长期</x:v>
      </x:c>
      <x:c r="P274" s="36" t="str">
        <x:v>["libreoffice_calc"]</x:v>
      </x:c>
      <x:c r="Q274" s="36" t="str">
        <x:v>[{"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x:v>
      </x:c>
      <x:c r="R274" s="36" t="str">
        <x:v>[]</x:v>
      </x:c>
      <x:c r="S274" s="36" t="str">
        <x:v>create_promotion_revenue_pivot|create_product_and_channel_revenue_pivots</x:v>
      </x:c>
      <x:c r="T274" s="36" t="str">
        <x:v>EntireSummerSales.xlsx|SummerSales.xlsx</x:v>
      </x:c>
      <x:c r="U274" s="36" t="str">
        <x:v>retrieve_and_synthesize</x:v>
      </x:c>
      <x:c r="V274" s="36" t="str">
        <x:v>[{"point_id":"P1","description":"在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x:v>
      </x:c>
      <x:c r="W274" s="36" t="str">
        <x:v>1.00</x:v>
      </x:c>
      <x:c r="X274" s="39" t="str">
        <x:v>相关工作表我都打开了，接着分别处理：第1件：在 EntireSummerSales.xlsx 新建 Sheet2，用数据透视表汇总每种 promotion type 的总 revenue，并将促销名称作为列标题；第2件：在 SummerSales.xlsx 新建 Sheet2，创建两张数据透视表，分别汇总每种产品的总收入和每个销售渠道的总收入。</x:v>
      </x:c>
      <x:c r="Y274" s="39" t="str">
        <x:v>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x:v>
      </x:c>
      <x:c r="Z274" s="39" t="str">
        <x:v>不适用：当前题目不存在需要用户进一步选择的候选记忆。</x:v>
      </x:c>
      <x:c r="AA274" s="39" t="str">
        <x:v>不适用：当前题目没有指定需要排除的冲突或禁止记忆。</x:v>
      </x:c>
      <x:c r="AB274" s="39" t="str">
        <x:v>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274" s="39" t="str">
        <x:v>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x:v>
      </x:c>
      <x:c r="AD274" s="39" t="str">
        <x:v>用户的完整请求是：“相关工作表我都打开了，接着分别处理：第1件：在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274" s="39" t="str">
        <x:v>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274" s="50" t="str">
        <x:v>not_pass</x:v>
      </x:c>
      <x:c r="AG274" s="50" t="n">
        <x:v>0</x:v>
      </x:c>
    </x:row>
    <x:row r="275" ht="189" customHeight="1">
      <x:c r="A275" s="35" t="str">
        <x:v>V3_CM13_Q04</x:v>
      </x:c>
      <x:c r="B275" s="36" t="str">
        <x:v>SG_COMP_CM13</x:v>
      </x:c>
      <x:c r="C275" s="36" t="str">
        <x:v>CM13</x:v>
      </x:c>
      <x:c r="D275" s="36" t="str">
        <x:v>促销与销售渠道透视汇总</x:v>
      </x:c>
      <x:c r="E275" s="36" t="str">
        <x:v>complementary_multi_memory</x:v>
      </x:c>
      <x:c r="F275" s="36" t="str">
        <x:v>low_overlap_paraphrase</x:v>
      </x:c>
      <x:c r="G275" s="36" t="str">
        <x:v>challenge</x:v>
      </x:c>
      <x:c r="H275" s="36" t="str">
        <x:v>困难</x:v>
      </x:c>
      <x:c r="I275" s="36" t="str">
        <x:v>1de60575-bb6e-4c3d-9e6a-2fa699f9f197|535364ea-05bd-46ea-9937-9f55c68507e8</x:v>
      </x:c>
      <x:c r="J275" s="36" t="str">
        <x:v>CTX_1de60575-bb6e-4c3d-9e6a-2fa699f9f197|CTX_535364ea-05bd-46ea-9937-9f55c68507e8</x:v>
      </x:c>
      <x:c r="K275" s="36" t="str">
        <x:v>STM_1de60575-bb6e-4c3d-9e6a-2fa699f9f197|LTM_535364ea-05bd-46ea-9937-9f55c68507e8</x:v>
      </x:c>
      <x:c r="L275" s="36" t="str"/>
      <x:c r="M275" s="36" t="str"/>
      <x:c r="N275" s="36" t="str">
        <x:v>工作流程|可复用模板</x:v>
      </x:c>
      <x:c r="O275" s="36" t="str">
        <x:v>短期|长期</x:v>
      </x:c>
      <x:c r="P275" s="36" t="str">
        <x:v>["libreoffice_calc"]</x:v>
      </x:c>
      <x:c r="Q275" s="36" t="str">
        <x:v>[{"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x:v>
      </x:c>
      <x:c r="R275" s="36" t="str">
        <x:v>[]</x:v>
      </x:c>
      <x:c r="S275" s="36" t="str">
        <x:v>create_promotion_revenue_pivot|create_product_and_channel_revenue_pivots</x:v>
      </x:c>
      <x:c r="T275" s="36" t="str">
        <x:v>EntireSummerSales.xlsx|SummerSales.xlsx</x:v>
      </x:c>
      <x:c r="U275" s="36" t="str">
        <x:v>retrieve_and_synthesize</x:v>
      </x:c>
      <x:c r="V275" s="36" t="str">
        <x:v>[{"point_id":"P1","description":"在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x:v>
      </x:c>
      <x:c r="W275" s="36" t="str">
        <x:v>1.00</x:v>
      </x:c>
      <x:c r="X275" s="39" t="str">
        <x:v>我想一次把这批工作做完：第1件：在 EntireSummerSales.xlsx 新建 Sheet2，用数据透视表汇总每种 promotion type 的总 revenue，并将促销名称作为列标题；第2件：在 SummerSales.xlsx 新建 Sheet2，创建两张数据透视表，分别汇总每种产品的总收入和每个销售渠道的总收入。不同文件的规则别串在一起。</x:v>
      </x:c>
      <x:c r="Y275" s="39" t="str">
        <x:v>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x:v>
      </x:c>
      <x:c r="Z275" s="39" t="str">
        <x:v>不适用：当前题目不存在需要用户进一步选择的候选记忆。</x:v>
      </x:c>
      <x:c r="AA275" s="39" t="str">
        <x:v>不适用：当前题目没有指定需要排除的冲突或禁止记忆。</x:v>
      </x:c>
      <x:c r="AB275" s="39" t="str">
        <x:v>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275" s="39" t="str">
        <x:v>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x:v>
      </x:c>
      <x:c r="AD275" s="39" t="str">
        <x:v>用户的完整请求是：“我想一次把这批工作做完：第1件：在 EntireSummerSales.xlsx 新建 Sheet2，用数据透视表汇总每种 promotion type 的总 revenue，并将促销名称作为列标题；第2件：在 SummerSales.xlsx 新建 Sheet2，创建两张数据透视表，分别汇总每种产品的总收入和每个销售渠道的总收入。不同文件的规则别串在一起。”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275" s="39" t="str">
        <x:v>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275" s="50" t="str">
        <x:v>not_pass</x:v>
      </x:c>
      <x:c r="AG275" s="50" t="n">
        <x:v>0</x:v>
      </x:c>
    </x:row>
    <x:row r="276" ht="189" customHeight="1">
      <x:c r="A276" s="35" t="str">
        <x:v>V3_CM13_Q05</x:v>
      </x:c>
      <x:c r="B276" s="36" t="str">
        <x:v>SG_COMP_CM13</x:v>
      </x:c>
      <x:c r="C276" s="36" t="str">
        <x:v>CM13</x:v>
      </x:c>
      <x:c r="D276" s="36" t="str">
        <x:v>促销与销售渠道透视汇总</x:v>
      </x:c>
      <x:c r="E276" s="36" t="str">
        <x:v>complementary_multi_memory</x:v>
      </x:c>
      <x:c r="F276" s="36" t="str">
        <x:v>human_constraint_emphasis</x:v>
      </x:c>
      <x:c r="G276" s="36" t="str">
        <x:v>challenge</x:v>
      </x:c>
      <x:c r="H276" s="36" t="str">
        <x:v>困难</x:v>
      </x:c>
      <x:c r="I276" s="36" t="str">
        <x:v>1de60575-bb6e-4c3d-9e6a-2fa699f9f197|535364ea-05bd-46ea-9937-9f55c68507e8</x:v>
      </x:c>
      <x:c r="J276" s="36" t="str">
        <x:v>CTX_1de60575-bb6e-4c3d-9e6a-2fa699f9f197|CTX_535364ea-05bd-46ea-9937-9f55c68507e8</x:v>
      </x:c>
      <x:c r="K276" s="36" t="str">
        <x:v>STM_1de60575-bb6e-4c3d-9e6a-2fa699f9f197|LTM_535364ea-05bd-46ea-9937-9f55c68507e8</x:v>
      </x:c>
      <x:c r="L276" s="36" t="str"/>
      <x:c r="M276" s="36" t="str"/>
      <x:c r="N276" s="36" t="str">
        <x:v>工作流程|可复用模板</x:v>
      </x:c>
      <x:c r="O276" s="36" t="str">
        <x:v>短期|长期</x:v>
      </x:c>
      <x:c r="P276" s="36" t="str">
        <x:v>["libreoffice_calc"]</x:v>
      </x:c>
      <x:c r="Q276" s="36" t="str">
        <x:v>[{"step_id":"S1","app":"libreoffice_calc","action_key":"create_promotion_revenue_pivot","input_artifacts":["EntireSummerSales.xlsx"],"output_artifacts":["EntireSummerSales.xlsx"],"depends_on":[]},{"step_id":"S2","app":"libreoffice_calc","action_key":"create_product_and_channel_revenue_pivots","input_artifacts":["SummerSales.xlsx"],"output_artifacts":["SummerSales.xlsx"],"depends_on":[]}]</x:v>
      </x:c>
      <x:c r="R276" s="36" t="str">
        <x:v>[]</x:v>
      </x:c>
      <x:c r="S276" s="36" t="str">
        <x:v>create_promotion_revenue_pivot|create_product_and_channel_revenue_pivots</x:v>
      </x:c>
      <x:c r="T276" s="36" t="str">
        <x:v>EntireSummerSales.xlsx|SummerSales.xlsx</x:v>
      </x:c>
      <x:c r="U276" s="36" t="str">
        <x:v>retrieve_and_synthesize</x:v>
      </x:c>
      <x:c r="V276" s="36" t="str">
        <x:v>[{"point_id":"P1","description":"在 EntireSummerSales.xlsx 新建 Sheet2，用数据透视表汇总每种 promotion type 的总 revenue，并将促销名称作为列标题。","weight":0.45,"evidence_memory_ids":["STM_1de60575-bb6e-4c3d-9e6a-2fa699f9f197"]},{"point_id":"P2","description":"在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1de60575-bb6e-4c3d-9e6a-2fa699f9f197","LTM_535364ea-05bd-46ea-9937-9f55c68507e8"]}]</x:v>
      </x:c>
      <x:c r="W276" s="36" t="str">
        <x:v>1.00</x:v>
      </x:c>
      <x:c r="X276" s="39" t="str">
        <x:v>这次按文件分别处理，要求如下：第1件：在 EntireSummerSales.xlsx 新建 Sheet2，用数据透视表汇总每种 promotion type 的总 revenue，并将促销名称作为列标题；第2件：在 SummerSales.xlsx 新建 Sheet2，创建两张数据透视表，分别汇总每种产品的总收入和每个销售渠道的总收入。</x:v>
      </x:c>
      <x:c r="Y276" s="39" t="str">
        <x:v>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x:v>
      </x:c>
      <x:c r="Z276" s="39" t="str">
        <x:v>不适用：当前题目不存在需要用户进一步选择的候选记忆。</x:v>
      </x:c>
      <x:c r="AA276" s="39" t="str">
        <x:v>不适用：当前题目没有指定需要排除的冲突或禁止记忆。</x:v>
      </x:c>
      <x:c r="AB276" s="39" t="str">
        <x:v>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276" s="39" t="str">
        <x:v>第1项实际操作：在 EntireSummerSales.xlsx 新建 Sheet2，用数据透视表汇总每种 promotion type 的总 revenue，并将促销名称作为列标题。执行时必须满足：使用数据透视表；促销名称作为列标题；结果放入 Sheet2。 第2项实际操作：在 SummerSales.xlsx 新建 Sheet2，创建两张数据透视表，分别汇总每种产品的总收入和每个销售渠道的总收入。执行时必须满足：必须有两张透视表；分别按产品和销售渠道汇总；目标为 Sheet2。</x:v>
      </x:c>
      <x:c r="AD276" s="39" t="str">
        <x:v>用户的完整请求是：“这次按文件分别处理，要求如下：第1件：在 EntireSummerSales.xlsx 新建 Sheet2，用数据透视表汇总每种 promotion type 的总 revenue，并将促销名称作为列标题；第2件：在 SummerSales.xlsx 新建 Sheet2，创建两张数据透视表，分别汇总每种产品的总收入和每个销售渠道的总收入。” 第1个当前上下文：EntireSummerSales.xlsx 已在 LibreOffice Calc 中打开。 第2个当前上下文：SummerSales.xlsx 已在 LibreOffice Calc 中打开。 当前请求要求在同一轮工作中得到多个结果。能够支持这些结果的完整必需记忆如下：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EntireSummerSales.xlsx 新建 Sheet2，用数据透视表汇总每种 promotion type 的总 revenue，并将促销名称作为列标题；2）在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276" s="39" t="str">
        <x:v>本题总分为 1.00 分，各得分点独立累计，允许语义等价表达，不要求模型输出记忆 ID，也不要求逐字复述记忆原文。
第1个得分点（0.45分）：在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276" s="50" t="str">
        <x:v>not_pass</x:v>
      </x:c>
      <x:c r="AG276" s="50" t="n">
        <x:v>0</x:v>
      </x:c>
    </x:row>
    <x:row r="277" ht="202.5" customHeight="1">
      <x:c r="A277" s="35" t="str">
        <x:v>V3_CM14_Q01</x:v>
      </x:c>
      <x:c r="B277" s="36" t="str">
        <x:v>SG_COMP_CM14</x:v>
      </x:c>
      <x:c r="C277" s="36" t="str">
        <x:v>CM14</x:v>
      </x:c>
      <x:c r="D277" s="36" t="str">
        <x:v>年度成本与周度销售图</x:v>
      </x:c>
      <x:c r="E277" s="36" t="str">
        <x:v>complementary_multi_memory</x:v>
      </x:c>
      <x:c r="F277" s="36" t="str">
        <x:v>human_context_explicit</x:v>
      </x:c>
      <x:c r="G277" s="36" t="str">
        <x:v>challenge</x:v>
      </x:c>
      <x:c r="H277" s="36" t="str">
        <x:v>困难</x:v>
      </x:c>
      <x:c r="I277" s="36" t="str">
        <x:v>347ef137-7eeb-4c80-a3bb-0951f26a8aff|12382c62-0cd1-4bf2-bdc8-1d20bf9b2371</x:v>
      </x:c>
      <x:c r="J277" s="36" t="str">
        <x:v>CTX_347ef137-7eeb-4c80-a3bb-0951f26a8aff|CTX_12382c62-0cd1-4bf2-bdc8-1d20bf9b2371</x:v>
      </x:c>
      <x:c r="K277" s="36" t="str">
        <x:v>MTM_347ef137-7eeb-4c80-a3bb-0951f26a8aff|MTM_12382c62-0cd1-4bf2-bdc8-1d20bf9b2371</x:v>
      </x:c>
      <x:c r="L277" s="36" t="str"/>
      <x:c r="M277" s="36" t="str"/>
      <x:c r="N277" s="36" t="str">
        <x:v>可复用模板</x:v>
      </x:c>
      <x:c r="O277" s="36" t="str">
        <x:v>中期</x:v>
      </x:c>
      <x:c r="P277" s="36" t="str">
        <x:v>["libreoffice_calc"]</x:v>
      </x:c>
      <x:c r="Q277" s="36" t="str">
        <x:v>[{"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x:v>
      </x:c>
      <x:c r="R277" s="36" t="str">
        <x:v>[]</x:v>
      </x:c>
      <x:c r="S277" s="36" t="str">
        <x:v>create_yearly_monthly_cost_charts|create_sales_cogs_clustered_column_chart</x:v>
      </x:c>
      <x:c r="T277" s="36" t="str">
        <x:v>Create_column_charts_using_statistics.xlsx|WeeklySales.xlsx</x:v>
      </x:c>
      <x:c r="U277" s="36" t="str">
        <x:v>retrieve_and_synthesize</x:v>
      </x:c>
      <x:c r="V277" s="36" t="str">
        <x:v>[{"point_id":"P1","description":"在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x:v>
      </x:c>
      <x:c r="W277" s="36" t="str">
        <x:v>1.00</x:v>
      </x:c>
      <x:c r="X277" s="39" t="str">
        <x:v>我今天要一起处理这批表。先做第1件事：在 Create_column_charts_using_statistics.xlsx 中分别汇总 2019 年和 2020 年每个月的总成本，并为两个年份各创建一张柱形图；再做第2件事：在 WeeklySales.xlsx 新建 Sheet2，为每周的 Sales 和 COGS 数据创建簇状柱形图，图表标题设为 Sales &amp; COGS。都按各自原来的规则完成。</x:v>
      </x:c>
      <x:c r="Y277"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x:v>
      </x:c>
      <x:c r="Z277" s="39" t="str">
        <x:v>不适用：当前题目不存在需要用户进一步选择的候选记忆。</x:v>
      </x:c>
      <x:c r="AA277" s="39" t="str">
        <x:v>不适用：当前题目没有指定需要排除的冲突或禁止记忆。</x:v>
      </x:c>
      <x:c r="AB277" s="39" t="str">
        <x:v>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277" s="39" t="str">
        <x:v>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x:v>
      </x:c>
      <x:c r="AD277" s="39" t="str">
        <x:v>用户的完整请求是：“我今天要一起处理这批表。先做第1件事：在 Create_column_charts_using_statistics.xlsx 中分别汇总 2019 年和 2020 年每个月的总成本，并为两个年份各创建一张柱形图；再做第2件事：在 WeeklySales.xlsx 新建 Sheet2，为每周的 Sales 和 COGS 数据创建簇状柱形图，图表标题设为 Sales &amp; COGS。都按各自原来的规则完成。”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277" s="39" t="str">
        <x:v>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277" s="50" t="str">
        <x:v>not_pass</x:v>
      </x:c>
      <x:c r="AG277" s="50" t="n">
        <x:v>0</x:v>
      </x:c>
    </x:row>
    <x:row r="278" ht="202.5" customHeight="1">
      <x:c r="A278" s="35" t="str">
        <x:v>V3_CM14_Q02</x:v>
      </x:c>
      <x:c r="B278" s="36" t="str">
        <x:v>SG_COMP_CM14</x:v>
      </x:c>
      <x:c r="C278" s="36" t="str">
        <x:v>CM14</x:v>
      </x:c>
      <x:c r="D278" s="36" t="str">
        <x:v>年度成本与周度销售图</x:v>
      </x:c>
      <x:c r="E278" s="36" t="str">
        <x:v>complementary_multi_memory</x:v>
      </x:c>
      <x:c r="F278" s="36" t="str">
        <x:v>human_goal_oriented</x:v>
      </x:c>
      <x:c r="G278" s="36" t="str">
        <x:v>challenge</x:v>
      </x:c>
      <x:c r="H278" s="36" t="str">
        <x:v>困难</x:v>
      </x:c>
      <x:c r="I278" s="36" t="str">
        <x:v>347ef137-7eeb-4c80-a3bb-0951f26a8aff|12382c62-0cd1-4bf2-bdc8-1d20bf9b2371</x:v>
      </x:c>
      <x:c r="J278" s="36" t="str">
        <x:v>CTX_347ef137-7eeb-4c80-a3bb-0951f26a8aff|CTX_12382c62-0cd1-4bf2-bdc8-1d20bf9b2371</x:v>
      </x:c>
      <x:c r="K278" s="36" t="str">
        <x:v>MTM_347ef137-7eeb-4c80-a3bb-0951f26a8aff|MTM_12382c62-0cd1-4bf2-bdc8-1d20bf9b2371</x:v>
      </x:c>
      <x:c r="L278" s="36" t="str"/>
      <x:c r="M278" s="36" t="str"/>
      <x:c r="N278" s="36" t="str">
        <x:v>可复用模板</x:v>
      </x:c>
      <x:c r="O278" s="36" t="str">
        <x:v>中期</x:v>
      </x:c>
      <x:c r="P278" s="36" t="str">
        <x:v>["libreoffice_calc"]</x:v>
      </x:c>
      <x:c r="Q278" s="36" t="str">
        <x:v>[{"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x:v>
      </x:c>
      <x:c r="R278" s="36" t="str">
        <x:v>[]</x:v>
      </x:c>
      <x:c r="S278" s="36" t="str">
        <x:v>create_yearly_monthly_cost_charts|create_sales_cogs_clustered_column_chart</x:v>
      </x:c>
      <x:c r="T278" s="36" t="str">
        <x:v>Create_column_charts_using_statistics.xlsx|WeeklySales.xlsx</x:v>
      </x:c>
      <x:c r="U278" s="36" t="str">
        <x:v>retrieve_and_synthesize</x:v>
      </x:c>
      <x:c r="V278" s="36" t="str">
        <x:v>[{"point_id":"P1","description":"在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x:v>
      </x:c>
      <x:c r="W278" s="36" t="str">
        <x:v>1.00</x:v>
      </x:c>
      <x:c r="X278" s="39" t="str">
        <x:v>这批文件马上要交付，帮我把几项工作一起收尾：第1件：在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x:v>
      </x:c>
      <x:c r="Y278"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x:v>
      </x:c>
      <x:c r="Z278" s="39" t="str">
        <x:v>不适用：当前题目不存在需要用户进一步选择的候选记忆。</x:v>
      </x:c>
      <x:c r="AA278" s="39" t="str">
        <x:v>不适用：当前题目没有指定需要排除的冲突或禁止记忆。</x:v>
      </x:c>
      <x:c r="AB278" s="39" t="str">
        <x:v>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278" s="39" t="str">
        <x:v>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x:v>
      </x:c>
      <x:c r="AD278" s="39" t="str">
        <x:v>用户的完整请求是：“这批文件马上要交付，帮我把几项工作一起收尾：第1件：在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278" s="39" t="str">
        <x:v>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278" s="50" t="str">
        <x:v>not_pass</x:v>
      </x:c>
      <x:c r="AG278" s="50" t="n">
        <x:v>0</x:v>
      </x:c>
    </x:row>
    <x:row r="279" ht="202.5" customHeight="1">
      <x:c r="A279" s="35" t="str">
        <x:v>V3_CM14_Q03</x:v>
      </x:c>
      <x:c r="B279" s="36" t="str">
        <x:v>SG_COMP_CM14</x:v>
      </x:c>
      <x:c r="C279" s="36" t="str">
        <x:v>CM14</x:v>
      </x:c>
      <x:c r="D279" s="36" t="str">
        <x:v>年度成本与周度销售图</x:v>
      </x:c>
      <x:c r="E279" s="36" t="str">
        <x:v>complementary_multi_memory</x:v>
      </x:c>
      <x:c r="F279" s="36" t="str">
        <x:v>contextual_ellipsis</x:v>
      </x:c>
      <x:c r="G279" s="36" t="str">
        <x:v>challenge</x:v>
      </x:c>
      <x:c r="H279" s="36" t="str">
        <x:v>困难</x:v>
      </x:c>
      <x:c r="I279" s="36" t="str">
        <x:v>347ef137-7eeb-4c80-a3bb-0951f26a8aff|12382c62-0cd1-4bf2-bdc8-1d20bf9b2371</x:v>
      </x:c>
      <x:c r="J279" s="36" t="str">
        <x:v>CTX_347ef137-7eeb-4c80-a3bb-0951f26a8aff|CTX_12382c62-0cd1-4bf2-bdc8-1d20bf9b2371</x:v>
      </x:c>
      <x:c r="K279" s="36" t="str">
        <x:v>MTM_347ef137-7eeb-4c80-a3bb-0951f26a8aff|MTM_12382c62-0cd1-4bf2-bdc8-1d20bf9b2371</x:v>
      </x:c>
      <x:c r="L279" s="36" t="str"/>
      <x:c r="M279" s="36" t="str"/>
      <x:c r="N279" s="36" t="str">
        <x:v>可复用模板</x:v>
      </x:c>
      <x:c r="O279" s="36" t="str">
        <x:v>中期</x:v>
      </x:c>
      <x:c r="P279" s="36" t="str">
        <x:v>["libreoffice_calc"]</x:v>
      </x:c>
      <x:c r="Q279" s="36" t="str">
        <x:v>[{"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x:v>
      </x:c>
      <x:c r="R279" s="36" t="str">
        <x:v>[]</x:v>
      </x:c>
      <x:c r="S279" s="36" t="str">
        <x:v>create_yearly_monthly_cost_charts|create_sales_cogs_clustered_column_chart</x:v>
      </x:c>
      <x:c r="T279" s="36" t="str">
        <x:v>Create_column_charts_using_statistics.xlsx|WeeklySales.xlsx</x:v>
      </x:c>
      <x:c r="U279" s="36" t="str">
        <x:v>retrieve_and_synthesize</x:v>
      </x:c>
      <x:c r="V279" s="36" t="str">
        <x:v>[{"point_id":"P1","description":"在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x:v>
      </x:c>
      <x:c r="W279" s="36" t="str">
        <x:v>1.00</x:v>
      </x:c>
      <x:c r="X279" s="39" t="str">
        <x:v>相关工作表我都打开了，接着分别处理：第1件：在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x:v>
      </x:c>
      <x:c r="Y279"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x:v>
      </x:c>
      <x:c r="Z279" s="39" t="str">
        <x:v>不适用：当前题目不存在需要用户进一步选择的候选记忆。</x:v>
      </x:c>
      <x:c r="AA279" s="39" t="str">
        <x:v>不适用：当前题目没有指定需要排除的冲突或禁止记忆。</x:v>
      </x:c>
      <x:c r="AB279" s="39" t="str">
        <x:v>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279" s="39" t="str">
        <x:v>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x:v>
      </x:c>
      <x:c r="AD279" s="39" t="str">
        <x:v>用户的完整请求是：“相关工作表我都打开了，接着分别处理：第1件：在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279" s="39" t="str">
        <x:v>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279" s="50" t="str">
        <x:v>not_pass</x:v>
      </x:c>
      <x:c r="AG279" s="50" t="n">
        <x:v>0</x:v>
      </x:c>
    </x:row>
    <x:row r="280" ht="202.5" customHeight="1">
      <x:c r="A280" s="35" t="str">
        <x:v>V3_CM14_Q04</x:v>
      </x:c>
      <x:c r="B280" s="36" t="str">
        <x:v>SG_COMP_CM14</x:v>
      </x:c>
      <x:c r="C280" s="36" t="str">
        <x:v>CM14</x:v>
      </x:c>
      <x:c r="D280" s="36" t="str">
        <x:v>年度成本与周度销售图</x:v>
      </x:c>
      <x:c r="E280" s="36" t="str">
        <x:v>complementary_multi_memory</x:v>
      </x:c>
      <x:c r="F280" s="36" t="str">
        <x:v>low_overlap_paraphrase</x:v>
      </x:c>
      <x:c r="G280" s="36" t="str">
        <x:v>challenge</x:v>
      </x:c>
      <x:c r="H280" s="36" t="str">
        <x:v>困难</x:v>
      </x:c>
      <x:c r="I280" s="36" t="str">
        <x:v>347ef137-7eeb-4c80-a3bb-0951f26a8aff|12382c62-0cd1-4bf2-bdc8-1d20bf9b2371</x:v>
      </x:c>
      <x:c r="J280" s="36" t="str">
        <x:v>CTX_347ef137-7eeb-4c80-a3bb-0951f26a8aff|CTX_12382c62-0cd1-4bf2-bdc8-1d20bf9b2371</x:v>
      </x:c>
      <x:c r="K280" s="36" t="str">
        <x:v>MTM_347ef137-7eeb-4c80-a3bb-0951f26a8aff|MTM_12382c62-0cd1-4bf2-bdc8-1d20bf9b2371</x:v>
      </x:c>
      <x:c r="L280" s="36" t="str"/>
      <x:c r="M280" s="36" t="str"/>
      <x:c r="N280" s="36" t="str">
        <x:v>可复用模板</x:v>
      </x:c>
      <x:c r="O280" s="36" t="str">
        <x:v>中期</x:v>
      </x:c>
      <x:c r="P280" s="36" t="str">
        <x:v>["libreoffice_calc"]</x:v>
      </x:c>
      <x:c r="Q280" s="36" t="str">
        <x:v>[{"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x:v>
      </x:c>
      <x:c r="R280" s="36" t="str">
        <x:v>[]</x:v>
      </x:c>
      <x:c r="S280" s="36" t="str">
        <x:v>create_yearly_monthly_cost_charts|create_sales_cogs_clustered_column_chart</x:v>
      </x:c>
      <x:c r="T280" s="36" t="str">
        <x:v>Create_column_charts_using_statistics.xlsx|WeeklySales.xlsx</x:v>
      </x:c>
      <x:c r="U280" s="36" t="str">
        <x:v>retrieve_and_synthesize</x:v>
      </x:c>
      <x:c r="V280" s="36" t="str">
        <x:v>[{"point_id":"P1","description":"在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x:v>
      </x:c>
      <x:c r="W280" s="36" t="str">
        <x:v>1.00</x:v>
      </x:c>
      <x:c r="X280" s="39" t="str">
        <x:v>我想一次把这批工作做完：第1件：在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COGS。不同文件的规则别串在一起。</x:v>
      </x:c>
      <x:c r="Y280"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x:v>
      </x:c>
      <x:c r="Z280" s="39" t="str">
        <x:v>不适用：当前题目不存在需要用户进一步选择的候选记忆。</x:v>
      </x:c>
      <x:c r="AA280" s="39" t="str">
        <x:v>不适用：当前题目没有指定需要排除的冲突或禁止记忆。</x:v>
      </x:c>
      <x:c r="AB280" s="39" t="str">
        <x:v>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280" s="39" t="str">
        <x:v>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x:v>
      </x:c>
      <x:c r="AD280" s="39" t="str">
        <x:v>用户的完整请求是：“我想一次把这批工作做完：第1件：在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COGS。不同文件的规则别串在一起。”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280" s="39" t="str">
        <x:v>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280" s="50" t="str">
        <x:v>not_pass</x:v>
      </x:c>
      <x:c r="AG280" s="50" t="n">
        <x:v>0</x:v>
      </x:c>
    </x:row>
    <x:row r="281" ht="202.5" customHeight="1">
      <x:c r="A281" s="35" t="str">
        <x:v>V3_CM14_Q05</x:v>
      </x:c>
      <x:c r="B281" s="36" t="str">
        <x:v>SG_COMP_CM14</x:v>
      </x:c>
      <x:c r="C281" s="36" t="str">
        <x:v>CM14</x:v>
      </x:c>
      <x:c r="D281" s="36" t="str">
        <x:v>年度成本与周度销售图</x:v>
      </x:c>
      <x:c r="E281" s="36" t="str">
        <x:v>complementary_multi_memory</x:v>
      </x:c>
      <x:c r="F281" s="36" t="str">
        <x:v>human_constraint_emphasis</x:v>
      </x:c>
      <x:c r="G281" s="36" t="str">
        <x:v>challenge</x:v>
      </x:c>
      <x:c r="H281" s="36" t="str">
        <x:v>困难</x:v>
      </x:c>
      <x:c r="I281" s="36" t="str">
        <x:v>347ef137-7eeb-4c80-a3bb-0951f26a8aff|12382c62-0cd1-4bf2-bdc8-1d20bf9b2371</x:v>
      </x:c>
      <x:c r="J281" s="36" t="str">
        <x:v>CTX_347ef137-7eeb-4c80-a3bb-0951f26a8aff|CTX_12382c62-0cd1-4bf2-bdc8-1d20bf9b2371</x:v>
      </x:c>
      <x:c r="K281" s="36" t="str">
        <x:v>MTM_347ef137-7eeb-4c80-a3bb-0951f26a8aff|MTM_12382c62-0cd1-4bf2-bdc8-1d20bf9b2371</x:v>
      </x:c>
      <x:c r="L281" s="36" t="str"/>
      <x:c r="M281" s="36" t="str"/>
      <x:c r="N281" s="36" t="str">
        <x:v>可复用模板</x:v>
      </x:c>
      <x:c r="O281" s="36" t="str">
        <x:v>中期</x:v>
      </x:c>
      <x:c r="P281" s="36" t="str">
        <x:v>["libreoffice_calc"]</x:v>
      </x:c>
      <x:c r="Q281" s="36" t="str">
        <x:v>[{"step_id":"S1","app":"libreoffice_calc","action_key":"create_yearly_monthly_cost_charts","input_artifacts":["Create_column_charts_using_statistics.xlsx"],"output_artifacts":["Create_column_charts_using_statistics.xlsx"],"depends_on":[]},{"step_id":"S2","app":"libreoffice_calc","action_key":"create_sales_cogs_clustered_column_chart","input_artifacts":["WeeklySales.xlsx"],"output_artifacts":["WeeklySales.xlsx"],"depends_on":[]}]</x:v>
      </x:c>
      <x:c r="R281" s="36" t="str">
        <x:v>[]</x:v>
      </x:c>
      <x:c r="S281" s="36" t="str">
        <x:v>create_yearly_monthly_cost_charts|create_sales_cogs_clustered_column_chart</x:v>
      </x:c>
      <x:c r="T281" s="36" t="str">
        <x:v>Create_column_charts_using_statistics.xlsx|WeeklySales.xlsx</x:v>
      </x:c>
      <x:c r="U281" s="36" t="str">
        <x:v>retrieve_and_synthesize</x:v>
      </x:c>
      <x:c r="V281" s="36" t="str">
        <x:v>[{"point_id":"P1","description":"在 Create_column_charts_using_statistics.xlsx 中分别汇总 2019 年和 2020 年每个月的总成本，并为两个年份各创建一张柱形图。","weight":0.45,"evidence_memory_ids":["MTM_347ef137-7eeb-4c80-a3bb-0951f26a8aff"]},{"point_id":"P2","description":"在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347ef137-7eeb-4c80-a3bb-0951f26a8aff","MTM_12382c62-0cd1-4bf2-bdc8-1d20bf9b2371"]}]</x:v>
      </x:c>
      <x:c r="W281" s="36" t="str">
        <x:v>1.00</x:v>
      </x:c>
      <x:c r="X281" s="39" t="str">
        <x:v>这次按文件分别处理，要求如下：第1件：在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x:v>
      </x:c>
      <x:c r="Y281" s="39" t="str">
        <x:v>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x:v>
      </x:c>
      <x:c r="Z281" s="39" t="str">
        <x:v>不适用：当前题目不存在需要用户进一步选择的候选记忆。</x:v>
      </x:c>
      <x:c r="AA281" s="39" t="str">
        <x:v>不适用：当前题目没有指定需要排除的冲突或禁止记忆。</x:v>
      </x:c>
      <x:c r="AB281" s="39" t="str">
        <x:v>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281" s="39" t="str">
        <x:v>第1项实际操作：在 Create_column_charts_using_statistics.xlsx 中分别汇总 2019 年和 2020 年每个月的总成本，并为两个年份各创建一张柱形图。执行时必须满足：2019 和 2020 分别成图；每张图展示各月总成本；不得合并成一张图。 第2项实际操作：在 WeeklySales.xlsx 新建 Sheet2，为每周的 Sales 和 COGS 数据创建簇状柱形图，图表标题设为 Sales &amp; COGS。执行时必须满足：图表放在 Sheet2；图表类型为簇状柱形图；标题必须为 Sales &amp; COGS。</x:v>
      </x:c>
      <x:c r="AD281" s="39" t="str">
        <x:v>用户的完整请求是：“这次按文件分别处理，要求如下：第1件：在 Create_column_charts_using_statistics.xlsx 中分别汇总 2019 年和 2020 年每个月的总成本，并为两个年份各创建一张柱形图；第2件：在 WeeklySales.xlsx 新建 Sheet2，为每周的 Sales 和 COGS 数据创建簇状柱形图，图表标题设为 Sales &amp; COGS。” 第1个当前上下文：Create_column_charts_using_statistics.xlsx 已在 LibreOffice Calc 中打开。 第2个当前上下文：WeeklySales.xlsx 已在 LibreOffice Calc 中打开。 当前请求要求在同一轮工作中得到多个结果。能够支持这些结果的完整必需记忆如下：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Create_column_charts_using_statistics.xlsx 中分别汇总 2019 年和 2020 年每个月的总成本，并为两个年份各创建一张柱形图；2）在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281" s="39" t="str">
        <x:v>本题总分为 1.00 分，各得分点独立累计，允许语义等价表达，不要求模型输出记忆 ID，也不要求逐字复述记忆原文。
第1个得分点（0.45分）：在 Create_column_charts_using_statistics.xlsx 中分别汇总 2019 年和 2020 年每个月的总成本，并为两个年份各创建一张柱形图。该得分点所依据的完整证据为：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第1条记忆（中期/可复用模板）：在 Create_column_charts_using_statistics.xlsx 中分别汇总 2019 年和 2020 年每个月的总成本，并为两个年份各创建一张柱形图。关键约束：2019 和 2020 分别成图；每张图展示各月总成本；不得合并成一张图。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281" s="50" t="str">
        <x:v>not_pass</x:v>
      </x:c>
      <x:c r="AG281" s="50" t="n">
        <x:v>0</x:v>
      </x:c>
    </x:row>
    <x:row r="282" ht="189" customHeight="1">
      <x:c r="A282" s="35" t="str">
        <x:v>V3_CM15_Q01</x:v>
      </x:c>
      <x:c r="B282" s="36" t="str">
        <x:v>SG_COMP_CM15</x:v>
      </x:c>
      <x:c r="C282" s="36" t="str">
        <x:v>CM15</x:v>
      </x:c>
      <x:c r="D282" s="36" t="str">
        <x:v>视图缩放与隐藏异常值</x:v>
      </x:c>
      <x:c r="E282" s="36" t="str">
        <x:v>complementary_multi_memory</x:v>
      </x:c>
      <x:c r="F282" s="36" t="str">
        <x:v>human_context_explicit</x:v>
      </x:c>
      <x:c r="G282" s="36" t="str">
        <x:v>challenge</x:v>
      </x:c>
      <x:c r="H282" s="36" t="str">
        <x:v>困难</x:v>
      </x:c>
      <x:c r="I282" s="36" t="str">
        <x:v>1334ca3e-f9e3-4db8-9ca7-b4c653be7d17|6054afcb-5bab-4702-90a0-b259b5d3217c</x:v>
      </x:c>
      <x:c r="J282" s="36" t="str">
        <x:v>CTX_1334ca3e-f9e3-4db8-9ca7-b4c653be7d17|CTX_6054afcb-5bab-4702-90a0-b259b5d3217c</x:v>
      </x:c>
      <x:c r="K282" s="36" t="str">
        <x:v>STM_1334ca3e-f9e3-4db8-9ca7-b4c653be7d17|STM_6054afcb-5bab-4702-90a0-b259b5d3217c</x:v>
      </x:c>
      <x:c r="L282" s="36" t="str"/>
      <x:c r="M282" s="36" t="str"/>
      <x:c r="N282" s="36" t="str">
        <x:v>事件|工作流程</x:v>
      </x:c>
      <x:c r="O282" s="36" t="str">
        <x:v>短期</x:v>
      </x:c>
      <x:c r="P282" s="36" t="str">
        <x:v>["libreoffice_calc"]</x:v>
      </x:c>
      <x:c r="Q282" s="36" t="str">
        <x:v>[{"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x:v>
      </x:c>
      <x:c r="R282" s="36" t="str">
        <x:v>[]</x:v>
      </x:c>
      <x:c r="S282" s="36" t="str">
        <x:v>zoom_out_spreadsheet_view|hide_na_display_without_deleting</x:v>
      </x:c>
      <x:c r="T282" s="36" t="str">
        <x:v>Zoom_Out_Oversized_Cells.xlsx|Date_Budget_Variance_HideNA.xlsx</x:v>
      </x:c>
      <x:c r="U282" s="36" t="str">
        <x:v>retrieve_and_synthesize</x:v>
      </x:c>
      <x:c r="V282" s="36" t="str">
        <x:v>[{"point_id":"P1","description":"用户在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x:v>
      </x:c>
      <x:c r="W282" s="36" t="str">
        <x:v>1.00</x:v>
      </x:c>
      <x:c r="X282" s="39" t="str">
        <x:v>我今天要一起处理这批表。先做第1件事：用户在 Zoom_Out_Oversized_Cells.xlsx 中因单元格显示过大而难以点击目标单元格，需要适当缩小工作表视图；再做第2件事：在 Date_Budget_Variance_HideNA.xlsx 中暂时隐藏表格里的 N/A 显示，但不删除任何单元格，也不使用筛选功能。都按各自原来的规则完成。</x:v>
      </x:c>
      <x:c r="Y282" s="39" t="str">
        <x:v>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x:v>
      </x:c>
      <x:c r="Z282" s="39" t="str">
        <x:v>不适用：当前题目不存在需要用户进一步选择的候选记忆。</x:v>
      </x:c>
      <x:c r="AA282" s="39" t="str">
        <x:v>不适用：当前题目没有指定需要排除的冲突或禁止记忆。</x:v>
      </x:c>
      <x:c r="AB282" s="39" t="str">
        <x:v>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C282" s="39" t="str">
        <x:v>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x:v>
      </x:c>
      <x:c r="AD282" s="39" t="str">
        <x:v>用户的完整请求是：“我今天要一起处理这批表。先做第1件事：用户在 Zoom_Out_Oversized_Cells.xlsx 中因单元格显示过大而难以点击目标单元格，需要适当缩小工作表视图；再做第2件事：在 Date_Budget_Variance_HideNA.xlsx 中暂时隐藏表格里的 N/A 显示，但不删除任何单元格，也不使用筛选功能。都按各自原来的规则完成。”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E282" s="39" t="str">
        <x:v>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282" s="50" t="str">
        <x:v>not_pass</x:v>
      </x:c>
      <x:c r="AG282" s="50" t="n">
        <x:v>0</x:v>
      </x:c>
    </x:row>
    <x:row r="283" ht="189" customHeight="1">
      <x:c r="A283" s="35" t="str">
        <x:v>V3_CM15_Q02</x:v>
      </x:c>
      <x:c r="B283" s="36" t="str">
        <x:v>SG_COMP_CM15</x:v>
      </x:c>
      <x:c r="C283" s="36" t="str">
        <x:v>CM15</x:v>
      </x:c>
      <x:c r="D283" s="36" t="str">
        <x:v>视图缩放与隐藏异常值</x:v>
      </x:c>
      <x:c r="E283" s="36" t="str">
        <x:v>complementary_multi_memory</x:v>
      </x:c>
      <x:c r="F283" s="36" t="str">
        <x:v>human_goal_oriented</x:v>
      </x:c>
      <x:c r="G283" s="36" t="str">
        <x:v>challenge</x:v>
      </x:c>
      <x:c r="H283" s="36" t="str">
        <x:v>困难</x:v>
      </x:c>
      <x:c r="I283" s="36" t="str">
        <x:v>1334ca3e-f9e3-4db8-9ca7-b4c653be7d17|6054afcb-5bab-4702-90a0-b259b5d3217c</x:v>
      </x:c>
      <x:c r="J283" s="36" t="str">
        <x:v>CTX_1334ca3e-f9e3-4db8-9ca7-b4c653be7d17|CTX_6054afcb-5bab-4702-90a0-b259b5d3217c</x:v>
      </x:c>
      <x:c r="K283" s="36" t="str">
        <x:v>STM_1334ca3e-f9e3-4db8-9ca7-b4c653be7d17|STM_6054afcb-5bab-4702-90a0-b259b5d3217c</x:v>
      </x:c>
      <x:c r="L283" s="36" t="str"/>
      <x:c r="M283" s="36" t="str"/>
      <x:c r="N283" s="36" t="str">
        <x:v>事件|工作流程</x:v>
      </x:c>
      <x:c r="O283" s="36" t="str">
        <x:v>短期</x:v>
      </x:c>
      <x:c r="P283" s="36" t="str">
        <x:v>["libreoffice_calc"]</x:v>
      </x:c>
      <x:c r="Q283" s="36" t="str">
        <x:v>[{"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x:v>
      </x:c>
      <x:c r="R283" s="36" t="str">
        <x:v>[]</x:v>
      </x:c>
      <x:c r="S283" s="36" t="str">
        <x:v>zoom_out_spreadsheet_view|hide_na_display_without_deleting</x:v>
      </x:c>
      <x:c r="T283" s="36" t="str">
        <x:v>Zoom_Out_Oversized_Cells.xlsx|Date_Budget_Variance_HideNA.xlsx</x:v>
      </x:c>
      <x:c r="U283" s="36" t="str">
        <x:v>retrieve_and_synthesize</x:v>
      </x:c>
      <x:c r="V283" s="36" t="str">
        <x:v>[{"point_id":"P1","description":"用户在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x:v>
      </x:c>
      <x:c r="W283" s="36" t="str">
        <x:v>1.00</x:v>
      </x:c>
      <x:c r="X283" s="39" t="str">
        <x:v>这批文件马上要交付，帮我把几项工作一起收尾：第1件：用户在 Zoom_Out_Oversized_Cells.xlsx 中因单元格显示过大而难以点击目标单元格，需要适当缩小工作表视图；第2件：在 Date_Budget_Variance_HideNA.xlsx 中暂时隐藏表格里的 N/A 显示，但不删除任何单元格，也不使用筛选功能。</x:v>
      </x:c>
      <x:c r="Y283" s="39" t="str">
        <x:v>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x:v>
      </x:c>
      <x:c r="Z283" s="39" t="str">
        <x:v>不适用：当前题目不存在需要用户进一步选择的候选记忆。</x:v>
      </x:c>
      <x:c r="AA283" s="39" t="str">
        <x:v>不适用：当前题目没有指定需要排除的冲突或禁止记忆。</x:v>
      </x:c>
      <x:c r="AB283" s="39" t="str">
        <x:v>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C283" s="39" t="str">
        <x:v>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x:v>
      </x:c>
      <x:c r="AD283" s="39" t="str">
        <x:v>用户的完整请求是：“这批文件马上要交付，帮我把几项工作一起收尾：第1件：用户在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E283" s="39" t="str">
        <x:v>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283" s="50" t="str">
        <x:v>not_pass</x:v>
      </x:c>
      <x:c r="AG283" s="50" t="n">
        <x:v>0</x:v>
      </x:c>
    </x:row>
    <x:row r="284" ht="189" customHeight="1">
      <x:c r="A284" s="35" t="str">
        <x:v>V3_CM15_Q03</x:v>
      </x:c>
      <x:c r="B284" s="36" t="str">
        <x:v>SG_COMP_CM15</x:v>
      </x:c>
      <x:c r="C284" s="36" t="str">
        <x:v>CM15</x:v>
      </x:c>
      <x:c r="D284" s="36" t="str">
        <x:v>视图缩放与隐藏异常值</x:v>
      </x:c>
      <x:c r="E284" s="36" t="str">
        <x:v>complementary_multi_memory</x:v>
      </x:c>
      <x:c r="F284" s="36" t="str">
        <x:v>contextual_ellipsis</x:v>
      </x:c>
      <x:c r="G284" s="36" t="str">
        <x:v>challenge</x:v>
      </x:c>
      <x:c r="H284" s="36" t="str">
        <x:v>困难</x:v>
      </x:c>
      <x:c r="I284" s="36" t="str">
        <x:v>1334ca3e-f9e3-4db8-9ca7-b4c653be7d17|6054afcb-5bab-4702-90a0-b259b5d3217c</x:v>
      </x:c>
      <x:c r="J284" s="36" t="str">
        <x:v>CTX_1334ca3e-f9e3-4db8-9ca7-b4c653be7d17|CTX_6054afcb-5bab-4702-90a0-b259b5d3217c</x:v>
      </x:c>
      <x:c r="K284" s="36" t="str">
        <x:v>STM_1334ca3e-f9e3-4db8-9ca7-b4c653be7d17|STM_6054afcb-5bab-4702-90a0-b259b5d3217c</x:v>
      </x:c>
      <x:c r="L284" s="36" t="str"/>
      <x:c r="M284" s="36" t="str"/>
      <x:c r="N284" s="36" t="str">
        <x:v>事件|工作流程</x:v>
      </x:c>
      <x:c r="O284" s="36" t="str">
        <x:v>短期</x:v>
      </x:c>
      <x:c r="P284" s="36" t="str">
        <x:v>["libreoffice_calc"]</x:v>
      </x:c>
      <x:c r="Q284" s="36" t="str">
        <x:v>[{"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x:v>
      </x:c>
      <x:c r="R284" s="36" t="str">
        <x:v>[]</x:v>
      </x:c>
      <x:c r="S284" s="36" t="str">
        <x:v>zoom_out_spreadsheet_view|hide_na_display_without_deleting</x:v>
      </x:c>
      <x:c r="T284" s="36" t="str">
        <x:v>Zoom_Out_Oversized_Cells.xlsx|Date_Budget_Variance_HideNA.xlsx</x:v>
      </x:c>
      <x:c r="U284" s="36" t="str">
        <x:v>retrieve_and_synthesize</x:v>
      </x:c>
      <x:c r="V284" s="36" t="str">
        <x:v>[{"point_id":"P1","description":"用户在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x:v>
      </x:c>
      <x:c r="W284" s="36" t="str">
        <x:v>1.00</x:v>
      </x:c>
      <x:c r="X284" s="39" t="str">
        <x:v>相关工作表我都打开了，接着分别处理：第1件：用户在 Zoom_Out_Oversized_Cells.xlsx 中因单元格显示过大而难以点击目标单元格，需要适当缩小工作表视图；第2件：在 Date_Budget_Variance_HideNA.xlsx 中暂时隐藏表格里的 N/A 显示，但不删除任何单元格，也不使用筛选功能。</x:v>
      </x:c>
      <x:c r="Y284" s="39" t="str">
        <x:v>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x:v>
      </x:c>
      <x:c r="Z284" s="39" t="str">
        <x:v>不适用：当前题目不存在需要用户进一步选择的候选记忆。</x:v>
      </x:c>
      <x:c r="AA284" s="39" t="str">
        <x:v>不适用：当前题目没有指定需要排除的冲突或禁止记忆。</x:v>
      </x:c>
      <x:c r="AB284" s="39" t="str">
        <x:v>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C284" s="39" t="str">
        <x:v>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x:v>
      </x:c>
      <x:c r="AD284" s="39" t="str">
        <x:v>用户的完整请求是：“相关工作表我都打开了，接着分别处理：第1件：用户在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E284" s="39" t="str">
        <x:v>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284" s="50" t="str">
        <x:v>not_pass</x:v>
      </x:c>
      <x:c r="AG284" s="50" t="n">
        <x:v>0</x:v>
      </x:c>
    </x:row>
    <x:row r="285" ht="189" customHeight="1">
      <x:c r="A285" s="35" t="str">
        <x:v>V3_CM15_Q04</x:v>
      </x:c>
      <x:c r="B285" s="36" t="str">
        <x:v>SG_COMP_CM15</x:v>
      </x:c>
      <x:c r="C285" s="36" t="str">
        <x:v>CM15</x:v>
      </x:c>
      <x:c r="D285" s="36" t="str">
        <x:v>视图缩放与隐藏异常值</x:v>
      </x:c>
      <x:c r="E285" s="36" t="str">
        <x:v>complementary_multi_memory</x:v>
      </x:c>
      <x:c r="F285" s="36" t="str">
        <x:v>low_overlap_paraphrase</x:v>
      </x:c>
      <x:c r="G285" s="36" t="str">
        <x:v>challenge</x:v>
      </x:c>
      <x:c r="H285" s="36" t="str">
        <x:v>困难</x:v>
      </x:c>
      <x:c r="I285" s="36" t="str">
        <x:v>1334ca3e-f9e3-4db8-9ca7-b4c653be7d17|6054afcb-5bab-4702-90a0-b259b5d3217c</x:v>
      </x:c>
      <x:c r="J285" s="36" t="str">
        <x:v>CTX_1334ca3e-f9e3-4db8-9ca7-b4c653be7d17|CTX_6054afcb-5bab-4702-90a0-b259b5d3217c</x:v>
      </x:c>
      <x:c r="K285" s="36" t="str">
        <x:v>STM_1334ca3e-f9e3-4db8-9ca7-b4c653be7d17|STM_6054afcb-5bab-4702-90a0-b259b5d3217c</x:v>
      </x:c>
      <x:c r="L285" s="36" t="str"/>
      <x:c r="M285" s="36" t="str"/>
      <x:c r="N285" s="36" t="str">
        <x:v>事件|工作流程</x:v>
      </x:c>
      <x:c r="O285" s="36" t="str">
        <x:v>短期</x:v>
      </x:c>
      <x:c r="P285" s="36" t="str">
        <x:v>["libreoffice_calc"]</x:v>
      </x:c>
      <x:c r="Q285" s="36" t="str">
        <x:v>[{"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x:v>
      </x:c>
      <x:c r="R285" s="36" t="str">
        <x:v>[]</x:v>
      </x:c>
      <x:c r="S285" s="36" t="str">
        <x:v>zoom_out_spreadsheet_view|hide_na_display_without_deleting</x:v>
      </x:c>
      <x:c r="T285" s="36" t="str">
        <x:v>Zoom_Out_Oversized_Cells.xlsx|Date_Budget_Variance_HideNA.xlsx</x:v>
      </x:c>
      <x:c r="U285" s="36" t="str">
        <x:v>retrieve_and_synthesize</x:v>
      </x:c>
      <x:c r="V285" s="36" t="str">
        <x:v>[{"point_id":"P1","description":"用户在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x:v>
      </x:c>
      <x:c r="W285" s="36" t="str">
        <x:v>1.00</x:v>
      </x:c>
      <x:c r="X285" s="39" t="str">
        <x:v>我想一次把这批工作做完：第1件：用户在 Zoom_Out_Oversized_Cells.xlsx 中因单元格显示过大而难以点击目标单元格，需要适当缩小工作表视图；第2件：在 Date_Budget_Variance_HideNA.xlsx 中暂时隐藏表格里的 N/A 显示，但不删除任何单元格，也不使用筛选功能。不同文件的规则别串在一起。</x:v>
      </x:c>
      <x:c r="Y285" s="39" t="str">
        <x:v>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x:v>
      </x:c>
      <x:c r="Z285" s="39" t="str">
        <x:v>不适用：当前题目不存在需要用户进一步选择的候选记忆。</x:v>
      </x:c>
      <x:c r="AA285" s="39" t="str">
        <x:v>不适用：当前题目没有指定需要排除的冲突或禁止记忆。</x:v>
      </x:c>
      <x:c r="AB285" s="39" t="str">
        <x:v>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C285" s="39" t="str">
        <x:v>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x:v>
      </x:c>
      <x:c r="AD285" s="39" t="str">
        <x:v>用户的完整请求是：“我想一次把这批工作做完：第1件：用户在 Zoom_Out_Oversized_Cells.xlsx 中因单元格显示过大而难以点击目标单元格，需要适当缩小工作表视图；第2件：在 Date_Budget_Variance_HideNA.xlsx 中暂时隐藏表格里的 N/A 显示，但不删除任何单元格，也不使用筛选功能。不同文件的规则别串在一起。”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E285" s="39" t="str">
        <x:v>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285" s="50" t="str">
        <x:v>not_pass</x:v>
      </x:c>
      <x:c r="AG285" s="50" t="n">
        <x:v>0</x:v>
      </x:c>
    </x:row>
    <x:row r="286" ht="189" customHeight="1">
      <x:c r="A286" s="35" t="str">
        <x:v>V3_CM15_Q05</x:v>
      </x:c>
      <x:c r="B286" s="36" t="str">
        <x:v>SG_COMP_CM15</x:v>
      </x:c>
      <x:c r="C286" s="36" t="str">
        <x:v>CM15</x:v>
      </x:c>
      <x:c r="D286" s="36" t="str">
        <x:v>视图缩放与隐藏异常值</x:v>
      </x:c>
      <x:c r="E286" s="36" t="str">
        <x:v>complementary_multi_memory</x:v>
      </x:c>
      <x:c r="F286" s="36" t="str">
        <x:v>human_constraint_emphasis</x:v>
      </x:c>
      <x:c r="G286" s="36" t="str">
        <x:v>challenge</x:v>
      </x:c>
      <x:c r="H286" s="36" t="str">
        <x:v>困难</x:v>
      </x:c>
      <x:c r="I286" s="36" t="str">
        <x:v>1334ca3e-f9e3-4db8-9ca7-b4c653be7d17|6054afcb-5bab-4702-90a0-b259b5d3217c</x:v>
      </x:c>
      <x:c r="J286" s="36" t="str">
        <x:v>CTX_1334ca3e-f9e3-4db8-9ca7-b4c653be7d17|CTX_6054afcb-5bab-4702-90a0-b259b5d3217c</x:v>
      </x:c>
      <x:c r="K286" s="36" t="str">
        <x:v>STM_1334ca3e-f9e3-4db8-9ca7-b4c653be7d17|STM_6054afcb-5bab-4702-90a0-b259b5d3217c</x:v>
      </x:c>
      <x:c r="L286" s="36" t="str"/>
      <x:c r="M286" s="36" t="str"/>
      <x:c r="N286" s="36" t="str">
        <x:v>事件|工作流程</x:v>
      </x:c>
      <x:c r="O286" s="36" t="str">
        <x:v>短期</x:v>
      </x:c>
      <x:c r="P286" s="36" t="str">
        <x:v>["libreoffice_calc"]</x:v>
      </x:c>
      <x:c r="Q286" s="36" t="str">
        <x:v>[{"step_id":"S1","app":"libreoffice_calc","action_key":"zoom_out_spreadsheet_view","input_artifacts":["Zoom_Out_Oversized_Cells.xlsx"],"output_artifacts":["Zoom_Out_Oversized_Cells.xlsx"],"depends_on":[]},{"step_id":"S2","app":"libreoffice_calc","action_key":"hide_na_display_without_deleting","input_artifacts":["Date_Budget_Variance_HideNA.xlsx"],"output_artifacts":["Date_Budget_Variance_HideNA.xlsx"],"depends_on":[]}]</x:v>
      </x:c>
      <x:c r="R286" s="36" t="str">
        <x:v>[]</x:v>
      </x:c>
      <x:c r="S286" s="36" t="str">
        <x:v>zoom_out_spreadsheet_view|hide_na_display_without_deleting</x:v>
      </x:c>
      <x:c r="T286" s="36" t="str">
        <x:v>Zoom_Out_Oversized_Cells.xlsx|Date_Budget_Variance_HideNA.xlsx</x:v>
      </x:c>
      <x:c r="U286" s="36" t="str">
        <x:v>retrieve_and_synthesize</x:v>
      </x:c>
      <x:c r="V286" s="36" t="str">
        <x:v>[{"point_id":"P1","description":"用户在 Zoom_Out_Oversized_Cells.xlsx 中因单元格显示过大而难以点击目标单元格，需要适当缩小工作表视图。","weight":0.45,"evidence_memory_ids":["STM_1334ca3e-f9e3-4db8-9ca7-b4c653be7d17"]},{"point_id":"P2","description":"在 Date_Budget_Variance_HideNA.xlsx 中暂时隐藏表格里的 N/A 显示，但不删除任何单元格，也不使用筛选功能。","weight":0.45,"evidence_memory_ids":["STM_6054afcb-5bab-4702-90a0-b259b5d3217c"]},{"point_id":"P3","description":"各文件和各步骤的规则不串用，不增加无来源操作","weight":0.1,"evidence_memory_ids":["STM_1334ca3e-f9e3-4db8-9ca7-b4c653be7d17","STM_6054afcb-5bab-4702-90a0-b259b5d3217c"]}]</x:v>
      </x:c>
      <x:c r="W286" s="36" t="str">
        <x:v>1.00</x:v>
      </x:c>
      <x:c r="X286" s="39" t="str">
        <x:v>这次按文件分别处理，要求如下：第1件：用户在 Zoom_Out_Oversized_Cells.xlsx 中因单元格显示过大而难以点击目标单元格，需要适当缩小工作表视图；第2件：在 Date_Budget_Variance_HideNA.xlsx 中暂时隐藏表格里的 N/A 显示，但不删除任何单元格，也不使用筛选功能。</x:v>
      </x:c>
      <x:c r="Y286" s="39" t="str">
        <x:v>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x:v>
      </x:c>
      <x:c r="Z286" s="39" t="str">
        <x:v>不适用：当前题目不存在需要用户进一步选择的候选记忆。</x:v>
      </x:c>
      <x:c r="AA286" s="39" t="str">
        <x:v>不适用：当前题目没有指定需要排除的冲突或禁止记忆。</x:v>
      </x:c>
      <x:c r="AB286" s="39" t="str">
        <x:v>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C286" s="39" t="str">
        <x:v>第1项实际操作：用户在 Zoom_Out_Oversized_Cells.xlsx 中因单元格显示过大而难以点击目标单元格，需要适当缩小工作表视图。执行时必须满足：只调整视图缩放；不修改单元格内容或格式。 第2项实际操作：在 Date_Budget_Variance_HideNA.xlsx 中暂时隐藏表格里的 N/A 显示，但不删除任何单元格，也不使用筛选功能。执行时必须满足：不得删除单元格；不得使用筛选；只隐藏 N/A 的可见显示。</x:v>
      </x:c>
      <x:c r="AD286" s="39" t="str">
        <x:v>用户的完整请求是：“这次按文件分别处理，要求如下：第1件：用户在 Zoom_Out_Oversized_Cells.xlsx 中因单元格显示过大而难以点击目标单元格，需要适当缩小工作表视图；第2件：在 Date_Budget_Variance_HideNA.xlsx 中暂时隐藏表格里的 N/A 显示，但不删除任何单元格，也不使用筛选功能。” 第1个当前上下文：Zoom_Out_Oversized_Cells.xlsx 已在 LibreOffice Calc 中打开。 第2个当前上下文：Date_Budget_Variance_HideNA.xlsx 已在 LibreOffice Calc 中打开。 当前请求要求在同一轮工作中得到多个结果。能够支持这些结果的完整必需记忆如下：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用户在 Zoom_Out_Oversized_Cells.xlsx 中因单元格显示过大而难以点击目标单元格，需要适当缩小工作表视图；2）在 Date_Budget_Variance_HideNA.xlsx 中暂时隐藏表格里的 N/A 显示，但不删除任何单元格，也不使用筛选功能。每项操作必须分别遵守其对应文件、工作表、范围、格式和输出约束，不能用其中一项替代另一项，也不能把不同文件的规则混用。”</x:v>
      </x:c>
      <x:c r="AE286" s="39" t="str">
        <x:v>本题总分为 1.00 分，各得分点独立累计，允许语义等价表达，不要求模型输出记忆 ID，也不要求逐字复述记忆原文。
第1个得分点（0.45分）：用户在 Zoom_Out_Oversized_Cells.xlsx 中因单元格显示过大而难以点击目标单元格，需要适当缩小工作表视图。该得分点所依据的完整证据为：
第1条记忆（短期/事件）：用户在 Zoom_Out_Oversized_Cells.xlsx 中因单元格显示过大而难以点击目标单元格，需要适当缩小工作表视图。关键约束：只调整视图缩放；不修改单元格内容或格式。
第2个得分点（0.45分）：在 Date_Budget_Variance_HideNA.xlsx 中暂时隐藏表格里的 N/A 显示，但不删除任何单元格，也不使用筛选功能。该得分点所依据的完整证据为：
第1条记忆（短期/工作流程）：在 Date_Budget_Variance_HideNA.xlsx 中暂时隐藏表格里的 N/A 显示，但不删除任何单元格，也不使用筛选功能。关键约束：不得删除单元格；不得使用筛选；只隐藏 N/A 的可见显示。
第3个得分点（0.10分）：各文件和各步骤的规则不串用，不增加无来源操作。该得分点所依据的完整证据为：
第1条记忆（短期/事件）：用户在 Zoom_Out_Oversized_Cells.xlsx 中因单元格显示过大而难以点击目标单元格，需要适当缩小工作表视图。关键约束：只调整视图缩放；不修改单元格内容或格式。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286" s="50" t="str">
        <x:v>not_pass</x:v>
      </x:c>
      <x:c r="AG286" s="50" t="n">
        <x:v>0</x:v>
      </x:c>
    </x:row>
    <x:row r="287" ht="216" customHeight="1">
      <x:c r="A287" s="35" t="str">
        <x:v>V3_CM16_Q01</x:v>
      </x:c>
      <x:c r="B287" s="36" t="str">
        <x:v>SG_COMP_CM16</x:v>
      </x:c>
      <x:c r="C287" s="36" t="str">
        <x:v>CM16</x:v>
      </x:c>
      <x:c r="D287" s="36" t="str">
        <x:v>数值单位与两位小数</x:v>
      </x:c>
      <x:c r="E287" s="36" t="str">
        <x:v>complementary_multi_memory</x:v>
      </x:c>
      <x:c r="F287" s="36" t="str">
        <x:v>human_context_explicit</x:v>
      </x:c>
      <x:c r="G287" s="36" t="str">
        <x:v>challenge</x:v>
      </x:c>
      <x:c r="H287" s="36" t="str">
        <x:v>困难</x:v>
      </x:c>
      <x:c r="I287" s="36" t="str">
        <x:v>21df9241-f8d7-4509-b7f1-37e501a823f7|6e99a1ad-07d2-4b66-a1ce-ece6d99c20a5</x:v>
      </x:c>
      <x:c r="J287" s="36" t="str">
        <x:v>CTX_21df9241-f8d7-4509-b7f1-37e501a823f7|CTX_6e99a1ad-07d2-4b66-a1ce-ece6d99c20a5</x:v>
      </x:c>
      <x:c r="K287" s="36" t="str">
        <x:v>STM_21df9241-f8d7-4509-b7f1-37e501a823f7|MTM_6e99a1ad-07d2-4b66-a1ce-ece6d99c20a5</x:v>
      </x:c>
      <x:c r="L287" s="36" t="str"/>
      <x:c r="M287" s="36" t="str"/>
      <x:c r="N287" s="36" t="str">
        <x:v>工作流程|可复用模板</x:v>
      </x:c>
      <x:c r="O287" s="36" t="str">
        <x:v>短期|中期</x:v>
      </x:c>
      <x:c r="P287" s="36" t="str">
        <x:v>["libreoffice_calc"]</x:v>
      </x:c>
      <x:c r="Q287" s="36" t="str">
        <x:v>[{"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x:v>
      </x:c>
      <x:c r="R287" s="36" t="str">
        <x:v>[]</x:v>
      </x:c>
      <x:c r="S287" s="36" t="str">
        <x:v>format_values_in_millions_and_billions|format_spent_two_decimals</x:v>
      </x:c>
      <x:c r="T287" s="36" t="str">
        <x:v>Represent_in_millions_billions.xlsx|Keep_Two_decimal_points.xlsx</x:v>
      </x:c>
      <x:c r="U287" s="36" t="str">
        <x:v>retrieve_and_synthesize</x:v>
      </x:c>
      <x:c r="V287" s="36" t="str">
        <x:v>[{"point_id":"P1","description":"在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x:v>
      </x:c>
      <x:c r="W287" s="36" t="str">
        <x:v>1.00</x:v>
      </x:c>
      <x:c r="X287" s="39" t="str">
        <x:v>我今天要一起处理这批表。先做第1件事：在 Represent_in_millions_billions.xlsx 中，将 Parameter 数值分别在 B 列显示为 Millions (M)、在 C 列显示为 Billions (B)，保留一位小数并按四舍五入规则处理，数字与单位之间留一个空格；再做第2件事：在 Keep_Two_decimal_points.xlsx 中把 spent 列的显示格式统一设置为保留两位小数。都按各自原来的规则完成。</x:v>
      </x:c>
      <x:c r="Y287"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x:v>
      </x:c>
      <x:c r="Z287" s="39" t="str">
        <x:v>不适用：当前题目不存在需要用户进一步选择的候选记忆。</x:v>
      </x:c>
      <x:c r="AA287" s="39" t="str">
        <x:v>不适用：当前题目没有指定需要排除的冲突或禁止记忆。</x:v>
      </x:c>
      <x:c r="AB287" s="39" t="str">
        <x:v>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C287"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x:v>
      </x:c>
      <x:c r="AD287" s="39" t="str">
        <x:v>用户的完整请求是：“我今天要一起处理这批表。先做第1件事：在 Represent_in_millions_billions.xlsx 中，将 Parameter 数值分别在 B 列显示为 Millions (M)、在 C 列显示为 Billions (B)，保留一位小数并按四舍五入规则处理，数字与单位之间留一个空格；再做第2件事：在 Keep_Two_decimal_points.xlsx 中把 spent 列的显示格式统一设置为保留两位小数。都按各自原来的规则完成。”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E287" s="39" t="str">
        <x:v>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287" s="50" t="str">
        <x:v>not_pass</x:v>
      </x:c>
      <x:c r="AG287" s="50" t="n">
        <x:v>0</x:v>
      </x:c>
    </x:row>
    <x:row r="288" ht="216" customHeight="1">
      <x:c r="A288" s="35" t="str">
        <x:v>V3_CM16_Q02</x:v>
      </x:c>
      <x:c r="B288" s="36" t="str">
        <x:v>SG_COMP_CM16</x:v>
      </x:c>
      <x:c r="C288" s="36" t="str">
        <x:v>CM16</x:v>
      </x:c>
      <x:c r="D288" s="36" t="str">
        <x:v>数值单位与两位小数</x:v>
      </x:c>
      <x:c r="E288" s="36" t="str">
        <x:v>complementary_multi_memory</x:v>
      </x:c>
      <x:c r="F288" s="36" t="str">
        <x:v>human_goal_oriented</x:v>
      </x:c>
      <x:c r="G288" s="36" t="str">
        <x:v>challenge</x:v>
      </x:c>
      <x:c r="H288" s="36" t="str">
        <x:v>困难</x:v>
      </x:c>
      <x:c r="I288" s="36" t="str">
        <x:v>21df9241-f8d7-4509-b7f1-37e501a823f7|6e99a1ad-07d2-4b66-a1ce-ece6d99c20a5</x:v>
      </x:c>
      <x:c r="J288" s="36" t="str">
        <x:v>CTX_21df9241-f8d7-4509-b7f1-37e501a823f7|CTX_6e99a1ad-07d2-4b66-a1ce-ece6d99c20a5</x:v>
      </x:c>
      <x:c r="K288" s="36" t="str">
        <x:v>STM_21df9241-f8d7-4509-b7f1-37e501a823f7|MTM_6e99a1ad-07d2-4b66-a1ce-ece6d99c20a5</x:v>
      </x:c>
      <x:c r="L288" s="36" t="str"/>
      <x:c r="M288" s="36" t="str"/>
      <x:c r="N288" s="36" t="str">
        <x:v>工作流程|可复用模板</x:v>
      </x:c>
      <x:c r="O288" s="36" t="str">
        <x:v>短期|中期</x:v>
      </x:c>
      <x:c r="P288" s="36" t="str">
        <x:v>["libreoffice_calc"]</x:v>
      </x:c>
      <x:c r="Q288" s="36" t="str">
        <x:v>[{"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x:v>
      </x:c>
      <x:c r="R288" s="36" t="str">
        <x:v>[]</x:v>
      </x:c>
      <x:c r="S288" s="36" t="str">
        <x:v>format_values_in_millions_and_billions|format_spent_two_decimals</x:v>
      </x:c>
      <x:c r="T288" s="36" t="str">
        <x:v>Represent_in_millions_billions.xlsx|Keep_Two_decimal_points.xlsx</x:v>
      </x:c>
      <x:c r="U288" s="36" t="str">
        <x:v>retrieve_and_synthesize</x:v>
      </x:c>
      <x:c r="V288" s="36" t="str">
        <x:v>[{"point_id":"P1","description":"在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x:v>
      </x:c>
      <x:c r="W288" s="36" t="str">
        <x:v>1.00</x:v>
      </x:c>
      <x:c r="X288" s="39" t="str">
        <x:v>这批文件马上要交付，帮我把几项工作一起收尾：第1件：在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x:v>
      </x:c>
      <x:c r="Y288"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x:v>
      </x:c>
      <x:c r="Z288" s="39" t="str">
        <x:v>不适用：当前题目不存在需要用户进一步选择的候选记忆。</x:v>
      </x:c>
      <x:c r="AA288" s="39" t="str">
        <x:v>不适用：当前题目没有指定需要排除的冲突或禁止记忆。</x:v>
      </x:c>
      <x:c r="AB288" s="39" t="str">
        <x:v>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C288"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x:v>
      </x:c>
      <x:c r="AD288" s="39" t="str">
        <x:v>用户的完整请求是：“这批文件马上要交付，帮我把几项工作一起收尾：第1件：在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E288" s="39" t="str">
        <x:v>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288" s="50" t="str">
        <x:v>not_pass</x:v>
      </x:c>
      <x:c r="AG288" s="50" t="n">
        <x:v>0</x:v>
      </x:c>
    </x:row>
    <x:row r="289" ht="216" customHeight="1">
      <x:c r="A289" s="35" t="str">
        <x:v>V3_CM16_Q03</x:v>
      </x:c>
      <x:c r="B289" s="36" t="str">
        <x:v>SG_COMP_CM16</x:v>
      </x:c>
      <x:c r="C289" s="36" t="str">
        <x:v>CM16</x:v>
      </x:c>
      <x:c r="D289" s="36" t="str">
        <x:v>数值单位与两位小数</x:v>
      </x:c>
      <x:c r="E289" s="36" t="str">
        <x:v>complementary_multi_memory</x:v>
      </x:c>
      <x:c r="F289" s="36" t="str">
        <x:v>contextual_ellipsis</x:v>
      </x:c>
      <x:c r="G289" s="36" t="str">
        <x:v>challenge</x:v>
      </x:c>
      <x:c r="H289" s="36" t="str">
        <x:v>困难</x:v>
      </x:c>
      <x:c r="I289" s="36" t="str">
        <x:v>21df9241-f8d7-4509-b7f1-37e501a823f7|6e99a1ad-07d2-4b66-a1ce-ece6d99c20a5</x:v>
      </x:c>
      <x:c r="J289" s="36" t="str">
        <x:v>CTX_21df9241-f8d7-4509-b7f1-37e501a823f7|CTX_6e99a1ad-07d2-4b66-a1ce-ece6d99c20a5</x:v>
      </x:c>
      <x:c r="K289" s="36" t="str">
        <x:v>STM_21df9241-f8d7-4509-b7f1-37e501a823f7|MTM_6e99a1ad-07d2-4b66-a1ce-ece6d99c20a5</x:v>
      </x:c>
      <x:c r="L289" s="36" t="str"/>
      <x:c r="M289" s="36" t="str"/>
      <x:c r="N289" s="36" t="str">
        <x:v>工作流程|可复用模板</x:v>
      </x:c>
      <x:c r="O289" s="36" t="str">
        <x:v>短期|中期</x:v>
      </x:c>
      <x:c r="P289" s="36" t="str">
        <x:v>["libreoffice_calc"]</x:v>
      </x:c>
      <x:c r="Q289" s="36" t="str">
        <x:v>[{"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x:v>
      </x:c>
      <x:c r="R289" s="36" t="str">
        <x:v>[]</x:v>
      </x:c>
      <x:c r="S289" s="36" t="str">
        <x:v>format_values_in_millions_and_billions|format_spent_two_decimals</x:v>
      </x:c>
      <x:c r="T289" s="36" t="str">
        <x:v>Represent_in_millions_billions.xlsx|Keep_Two_decimal_points.xlsx</x:v>
      </x:c>
      <x:c r="U289" s="36" t="str">
        <x:v>retrieve_and_synthesize</x:v>
      </x:c>
      <x:c r="V289" s="36" t="str">
        <x:v>[{"point_id":"P1","description":"在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x:v>
      </x:c>
      <x:c r="W289" s="36" t="str">
        <x:v>1.00</x:v>
      </x:c>
      <x:c r="X289" s="39" t="str">
        <x:v>相关工作表我都打开了，接着分别处理：第1件：在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x:v>
      </x:c>
      <x:c r="Y289"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x:v>
      </x:c>
      <x:c r="Z289" s="39" t="str">
        <x:v>不适用：当前题目不存在需要用户进一步选择的候选记忆。</x:v>
      </x:c>
      <x:c r="AA289" s="39" t="str">
        <x:v>不适用：当前题目没有指定需要排除的冲突或禁止记忆。</x:v>
      </x:c>
      <x:c r="AB289" s="39" t="str">
        <x:v>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C289"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x:v>
      </x:c>
      <x:c r="AD289" s="39" t="str">
        <x:v>用户的完整请求是：“相关工作表我都打开了，接着分别处理：第1件：在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E289" s="39" t="str">
        <x:v>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289" s="50" t="str">
        <x:v>not_pass</x:v>
      </x:c>
      <x:c r="AG289" s="50" t="n">
        <x:v>0</x:v>
      </x:c>
    </x:row>
    <x:row r="290" ht="216" customHeight="1">
      <x:c r="A290" s="35" t="str">
        <x:v>V3_CM16_Q04</x:v>
      </x:c>
      <x:c r="B290" s="36" t="str">
        <x:v>SG_COMP_CM16</x:v>
      </x:c>
      <x:c r="C290" s="36" t="str">
        <x:v>CM16</x:v>
      </x:c>
      <x:c r="D290" s="36" t="str">
        <x:v>数值单位与两位小数</x:v>
      </x:c>
      <x:c r="E290" s="36" t="str">
        <x:v>complementary_multi_memory</x:v>
      </x:c>
      <x:c r="F290" s="36" t="str">
        <x:v>low_overlap_paraphrase</x:v>
      </x:c>
      <x:c r="G290" s="36" t="str">
        <x:v>challenge</x:v>
      </x:c>
      <x:c r="H290" s="36" t="str">
        <x:v>困难</x:v>
      </x:c>
      <x:c r="I290" s="36" t="str">
        <x:v>21df9241-f8d7-4509-b7f1-37e501a823f7|6e99a1ad-07d2-4b66-a1ce-ece6d99c20a5</x:v>
      </x:c>
      <x:c r="J290" s="36" t="str">
        <x:v>CTX_21df9241-f8d7-4509-b7f1-37e501a823f7|CTX_6e99a1ad-07d2-4b66-a1ce-ece6d99c20a5</x:v>
      </x:c>
      <x:c r="K290" s="36" t="str">
        <x:v>STM_21df9241-f8d7-4509-b7f1-37e501a823f7|MTM_6e99a1ad-07d2-4b66-a1ce-ece6d99c20a5</x:v>
      </x:c>
      <x:c r="L290" s="36" t="str"/>
      <x:c r="M290" s="36" t="str"/>
      <x:c r="N290" s="36" t="str">
        <x:v>工作流程|可复用模板</x:v>
      </x:c>
      <x:c r="O290" s="36" t="str">
        <x:v>短期|中期</x:v>
      </x:c>
      <x:c r="P290" s="36" t="str">
        <x:v>["libreoffice_calc"]</x:v>
      </x:c>
      <x:c r="Q290" s="36" t="str">
        <x:v>[{"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x:v>
      </x:c>
      <x:c r="R290" s="36" t="str">
        <x:v>[]</x:v>
      </x:c>
      <x:c r="S290" s="36" t="str">
        <x:v>format_values_in_millions_and_billions|format_spent_two_decimals</x:v>
      </x:c>
      <x:c r="T290" s="36" t="str">
        <x:v>Represent_in_millions_billions.xlsx|Keep_Two_decimal_points.xlsx</x:v>
      </x:c>
      <x:c r="U290" s="36" t="str">
        <x:v>retrieve_and_synthesize</x:v>
      </x:c>
      <x:c r="V290" s="36" t="str">
        <x:v>[{"point_id":"P1","description":"在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x:v>
      </x:c>
      <x:c r="W290" s="36" t="str">
        <x:v>1.00</x:v>
      </x:c>
      <x:c r="X290" s="39" t="str">
        <x:v>我想一次把这批工作做完：第1件：在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列的显示格式统一设置为保留两位小数。不同文件的规则别串在一起。</x:v>
      </x:c>
      <x:c r="Y290"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x:v>
      </x:c>
      <x:c r="Z290" s="39" t="str">
        <x:v>不适用：当前题目不存在需要用户进一步选择的候选记忆。</x:v>
      </x:c>
      <x:c r="AA290" s="39" t="str">
        <x:v>不适用：当前题目没有指定需要排除的冲突或禁止记忆。</x:v>
      </x:c>
      <x:c r="AB290" s="39" t="str">
        <x:v>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C290"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x:v>
      </x:c>
      <x:c r="AD290" s="39" t="str">
        <x:v>用户的完整请求是：“我想一次把这批工作做完：第1件：在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列的显示格式统一设置为保留两位小数。不同文件的规则别串在一起。”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E290" s="39" t="str">
        <x:v>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290" s="50" t="str">
        <x:v>not_pass</x:v>
      </x:c>
      <x:c r="AG290" s="50" t="n">
        <x:v>0</x:v>
      </x:c>
    </x:row>
    <x:row r="291" ht="216" customHeight="1">
      <x:c r="A291" s="35" t="str">
        <x:v>V3_CM16_Q05</x:v>
      </x:c>
      <x:c r="B291" s="36" t="str">
        <x:v>SG_COMP_CM16</x:v>
      </x:c>
      <x:c r="C291" s="36" t="str">
        <x:v>CM16</x:v>
      </x:c>
      <x:c r="D291" s="36" t="str">
        <x:v>数值单位与两位小数</x:v>
      </x:c>
      <x:c r="E291" s="36" t="str">
        <x:v>complementary_multi_memory</x:v>
      </x:c>
      <x:c r="F291" s="36" t="str">
        <x:v>human_constraint_emphasis</x:v>
      </x:c>
      <x:c r="G291" s="36" t="str">
        <x:v>challenge</x:v>
      </x:c>
      <x:c r="H291" s="36" t="str">
        <x:v>困难</x:v>
      </x:c>
      <x:c r="I291" s="36" t="str">
        <x:v>21df9241-f8d7-4509-b7f1-37e501a823f7|6e99a1ad-07d2-4b66-a1ce-ece6d99c20a5</x:v>
      </x:c>
      <x:c r="J291" s="36" t="str">
        <x:v>CTX_21df9241-f8d7-4509-b7f1-37e501a823f7|CTX_6e99a1ad-07d2-4b66-a1ce-ece6d99c20a5</x:v>
      </x:c>
      <x:c r="K291" s="36" t="str">
        <x:v>STM_21df9241-f8d7-4509-b7f1-37e501a823f7|MTM_6e99a1ad-07d2-4b66-a1ce-ece6d99c20a5</x:v>
      </x:c>
      <x:c r="L291" s="36" t="str"/>
      <x:c r="M291" s="36" t="str"/>
      <x:c r="N291" s="36" t="str">
        <x:v>工作流程|可复用模板</x:v>
      </x:c>
      <x:c r="O291" s="36" t="str">
        <x:v>短期|中期</x:v>
      </x:c>
      <x:c r="P291" s="36" t="str">
        <x:v>["libreoffice_calc"]</x:v>
      </x:c>
      <x:c r="Q291" s="36" t="str">
        <x:v>[{"step_id":"S1","app":"libreoffice_calc","action_key":"format_values_in_millions_and_billions","input_artifacts":["Represent_in_millions_billions.xlsx"],"output_artifacts":["[\"Represent_in_millions_billions.xlsx\",\"Represent_in_millions_billions-Sheet1.csv\"]"],"depends_on":[]},{"step_id":"S2","app":"libreoffice_calc","action_key":"format_spent_two_decimals","input_artifacts":["Keep_Two_decimal_points.xlsx"],"output_artifacts":["[\"Keep_Two_decimal_points.xlsx\",\"Keep_Two_decimal_points-Sheet1.csv\"]"],"depends_on":[]}]</x:v>
      </x:c>
      <x:c r="R291" s="36" t="str">
        <x:v>[]</x:v>
      </x:c>
      <x:c r="S291" s="36" t="str">
        <x:v>format_values_in_millions_and_billions|format_spent_two_decimals</x:v>
      </x:c>
      <x:c r="T291" s="36" t="str">
        <x:v>Represent_in_millions_billions.xlsx|Keep_Two_decimal_points.xlsx</x:v>
      </x:c>
      <x:c r="U291" s="36" t="str">
        <x:v>retrieve_and_synthesize</x:v>
      </x:c>
      <x:c r="V291" s="36" t="str">
        <x:v>[{"point_id":"P1","description":"在 Represent_in_millions_billions.xlsx 中，将 Parameter 数值分别在 B 列显示为 Millions (M)、在 C 列显示为 Billions (B)，保留一位小数并按四舍五入规则处理，数字与单位之间留一个空格。","weight":0.45,"evidence_memory_ids":["STM_21df9241-f8d7-4509-b7f1-37e501a823f7"]},{"point_id":"P2","description":"在 Keep_Two_decimal_points.xlsx 中把 spent 列的显示格式统一设置为保留两位小数。","weight":0.45,"evidence_memory_ids":["MTM_6e99a1ad-07d2-4b66-a1ce-ece6d99c20a5"]},{"point_id":"P3","description":"各文件和各步骤的规则不串用，不增加无来源操作","weight":0.1,"evidence_memory_ids":["STM_21df9241-f8d7-4509-b7f1-37e501a823f7","MTM_6e99a1ad-07d2-4b66-a1ce-ece6d99c20a5"]}]</x:v>
      </x:c>
      <x:c r="W291" s="36" t="str">
        <x:v>1.00</x:v>
      </x:c>
      <x:c r="X291" s="39" t="str">
        <x:v>这次按文件分别处理，要求如下：第1件：在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x:v>
      </x:c>
      <x:c r="Y291"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x:v>
      </x:c>
      <x:c r="Z291" s="39" t="str">
        <x:v>不适用：当前题目不存在需要用户进一步选择的候选记忆。</x:v>
      </x:c>
      <x:c r="AA291" s="39" t="str">
        <x:v>不适用：当前题目没有指定需要排除的冲突或禁止记忆。</x:v>
      </x:c>
      <x:c r="AB291" s="39" t="str">
        <x:v>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C291" s="39" t="str">
        <x:v>第1项实际操作：在 Represent_in_millions_billions.xlsx 中，将 Parameter 数值分别在 B 列显示为 Millions (M)、在 C 列显示为 Billions (B)，保留一位小数并按四舍五入规则处理，数字与单位之间留一个空格。执行时必须满足：B 列使用 M、C 列使用 B；保留一位小数；数字与单位间有一个空格。 第2项实际操作：在 Keep_Two_decimal_points.xlsx 中把 spent 列的显示格式统一设置为保留两位小数。执行时必须满足：只格式化 spent 列；固定显示两位小数；不改变原数值。</x:v>
      </x:c>
      <x:c r="AD291" s="39" t="str">
        <x:v>用户的完整请求是：“这次按文件分别处理，要求如下：第1件：在 Represent_in_millions_billions.xlsx 中，将 Parameter 数值分别在 B 列显示为 Millions (M)、在 C 列显示为 Billions (B)，保留一位小数并按四舍五入规则处理，数字与单位之间留一个空格；第2件：在 Keep_Two_decimal_points.xlsx 中把 spent 列的显示格式统一设置为保留两位小数。” 第1个当前上下文：Represent_in_millions_billions.xlsx 已在 LibreOffice Calc 中打开。 第2个当前上下文：Keep_Two_decimal_points.xlsx 已在 LibreOffice Calc 中打开。 当前请求要求在同一轮工作中得到多个结果。能够支持这些结果的完整必需记忆如下：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列的显示格式统一设置为保留两位小数。每项操作必须分别遵守其对应文件、工作表、范围、格式和输出约束，不能用其中一项替代另一项，也不能把不同文件的规则混用。”</x:v>
      </x:c>
      <x:c r="AE291" s="39" t="str">
        <x:v>本题总分为 1.00 分，各得分点独立累计，允许语义等价表达，不要求模型输出记忆 ID，也不要求逐字复述记忆原文。
第1个得分点（0.45分）：在 Represent_in_millions_billions.xlsx 中，将 Parameter 数值分别在 B 列显示为 Millions (M)、在 C 列显示为 Billions (B)，保留一位小数并按四舍五入规则处理，数字与单位之间留一个空格。该得分点所依据的完整证据为：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第2个得分点（0.45分）：在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第3个得分点（0.10分）：各文件和各步骤的规则不串用，不增加无来源操作。该得分点所依据的完整证据为：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291" s="50" t="str">
        <x:v>not_pass</x:v>
      </x:c>
      <x:c r="AG291" s="50" t="n">
        <x:v>0</x:v>
      </x:c>
    </x:row>
    <x:row r="292" ht="202.5" customHeight="1">
      <x:c r="A292" s="35" t="str">
        <x:v>V3_CM17_Q01</x:v>
      </x:c>
      <x:c r="B292" s="36" t="str">
        <x:v>SG_COMP_CM17</x:v>
      </x:c>
      <x:c r="C292" s="36" t="str">
        <x:v>CM17</x:v>
      </x:c>
      <x:c r="D292" s="36" t="str">
        <x:v>文本公式与小数分隔符</x:v>
      </x:c>
      <x:c r="E292" s="36" t="str">
        <x:v>complementary_multi_memory</x:v>
      </x:c>
      <x:c r="F292" s="36" t="str">
        <x:v>human_context_explicit</x:v>
      </x:c>
      <x:c r="G292" s="36" t="str">
        <x:v>challenge</x:v>
      </x:c>
      <x:c r="H292" s="36" t="str">
        <x:v>困难</x:v>
      </x:c>
      <x:c r="I292" s="36" t="str">
        <x:v>4f07fbe9-70de-4927-a4d5-bb28bc12c52c|a01fbce3-2793-461f-ab86-43680ccbae25</x:v>
      </x:c>
      <x:c r="J292" s="36" t="str">
        <x:v>CTX_4f07fbe9-70de-4927-a4d5-bb28bc12c52c|CTX_a01fbce3-2793-461f-ab86-43680ccbae25</x:v>
      </x:c>
      <x:c r="K292" s="36" t="str">
        <x:v>LTM_4f07fbe9-70de-4927-a4d5-bb28bc12c52c|STM_a01fbce3-2793-461f-ab86-43680ccbae25</x:v>
      </x:c>
      <x:c r="L292" s="36" t="str"/>
      <x:c r="M292" s="36" t="str"/>
      <x:c r="N292" s="36" t="str">
        <x:v>知识|工作流程</x:v>
      </x:c>
      <x:c r="O292" s="36" t="str">
        <x:v>长期|短期</x:v>
      </x:c>
      <x:c r="P292" s="36" t="str">
        <x:v>["libreoffice_calc"]</x:v>
      </x:c>
      <x:c r="Q292" s="36" t="str">
        <x:v>[{"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x:v>
      </x:c>
      <x:c r="R292" s="36" t="str">
        <x:v>[]</x:v>
      </x:c>
      <x:c r="S292" s="36" t="str">
        <x:v>format_embedded_number_to_two_decimals|set_decimal_separator_comma</x:v>
      </x:c>
      <x:c r="T292" s="36" t="str">
        <x:v>Padding_Decimals_In_Formular.xlsx|Set_Decimal_Separator_Dot.xlsx</x:v>
      </x:c>
      <x:c r="U292" s="36" t="str">
        <x:v>retrieve_and_synthesize</x:v>
      </x:c>
      <x:c r="V292" s="36" t="str">
        <x:v>[{"point_id":"P1","description":"在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x:v>
      </x:c>
      <x:c r="W292" s="36" t="str">
        <x:v>1.00</x:v>
      </x:c>
      <x:c r="X292" s="39" t="str">
        <x:v>我今天要一起处理这批表。先做第1件事：在 Padding_Decimals_In_Formular.xlsx 中处理文本公式里的数值显示，使嵌入文本的数字也固定保留两位小数，而不是只修改原数值单元格的显示格式；再做第2件事：在 Set_Decimal_Separator_Dot.xlsx 中把整张表数值的小数分隔符显示为逗号，同时保持各个小数的实际数值和精度不变。都按各自原来的规则完成。</x:v>
      </x:c>
      <x:c r="Y292"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92" s="39" t="str">
        <x:v>不适用：当前题目不存在需要用户进一步选择的候选记忆。</x:v>
      </x:c>
      <x:c r="AA292" s="39" t="str">
        <x:v>不适用：当前题目没有指定需要排除的冲突或禁止记忆。</x:v>
      </x:c>
      <x:c r="AB292" s="39" t="str">
        <x:v>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C292"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92" s="39" t="str">
        <x:v>用户的完整请求是：“我今天要一起处理这批表。先做第1件事：在 Padding_Decimals_In_Formular.xlsx 中处理文本公式里的数值显示，使嵌入文本的数字也固定保留两位小数，而不是只修改原数值单元格的显示格式；再做第2件事：在 Set_Decimal_Separator_Dot.xlsx 中把整张表数值的小数分隔符显示为逗号，同时保持各个小数的实际数值和精度不变。都按各自原来的规则完成。”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E292" s="39" t="str">
        <x:v>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92" s="50" t="str">
        <x:v>not_pass</x:v>
      </x:c>
      <x:c r="AG292" s="50" t="n">
        <x:v>0</x:v>
      </x:c>
    </x:row>
    <x:row r="293" ht="202.5" customHeight="1">
      <x:c r="A293" s="35" t="str">
        <x:v>V3_CM17_Q02</x:v>
      </x:c>
      <x:c r="B293" s="36" t="str">
        <x:v>SG_COMP_CM17</x:v>
      </x:c>
      <x:c r="C293" s="36" t="str">
        <x:v>CM17</x:v>
      </x:c>
      <x:c r="D293" s="36" t="str">
        <x:v>文本公式与小数分隔符</x:v>
      </x:c>
      <x:c r="E293" s="36" t="str">
        <x:v>complementary_multi_memory</x:v>
      </x:c>
      <x:c r="F293" s="36" t="str">
        <x:v>human_goal_oriented</x:v>
      </x:c>
      <x:c r="G293" s="36" t="str">
        <x:v>challenge</x:v>
      </x:c>
      <x:c r="H293" s="36" t="str">
        <x:v>困难</x:v>
      </x:c>
      <x:c r="I293" s="36" t="str">
        <x:v>4f07fbe9-70de-4927-a4d5-bb28bc12c52c|a01fbce3-2793-461f-ab86-43680ccbae25</x:v>
      </x:c>
      <x:c r="J293" s="36" t="str">
        <x:v>CTX_4f07fbe9-70de-4927-a4d5-bb28bc12c52c|CTX_a01fbce3-2793-461f-ab86-43680ccbae25</x:v>
      </x:c>
      <x:c r="K293" s="36" t="str">
        <x:v>LTM_4f07fbe9-70de-4927-a4d5-bb28bc12c52c|STM_a01fbce3-2793-461f-ab86-43680ccbae25</x:v>
      </x:c>
      <x:c r="L293" s="36" t="str"/>
      <x:c r="M293" s="36" t="str"/>
      <x:c r="N293" s="36" t="str">
        <x:v>知识|工作流程</x:v>
      </x:c>
      <x:c r="O293" s="36" t="str">
        <x:v>长期|短期</x:v>
      </x:c>
      <x:c r="P293" s="36" t="str">
        <x:v>["libreoffice_calc"]</x:v>
      </x:c>
      <x:c r="Q293" s="36" t="str">
        <x:v>[{"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x:v>
      </x:c>
      <x:c r="R293" s="36" t="str">
        <x:v>[]</x:v>
      </x:c>
      <x:c r="S293" s="36" t="str">
        <x:v>format_embedded_number_to_two_decimals|set_decimal_separator_comma</x:v>
      </x:c>
      <x:c r="T293" s="36" t="str">
        <x:v>Padding_Decimals_In_Formular.xlsx|Set_Decimal_Separator_Dot.xlsx</x:v>
      </x:c>
      <x:c r="U293" s="36" t="str">
        <x:v>retrieve_and_synthesize</x:v>
      </x:c>
      <x:c r="V293" s="36" t="str">
        <x:v>[{"point_id":"P1","description":"在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x:v>
      </x:c>
      <x:c r="W293" s="36" t="str">
        <x:v>1.00</x:v>
      </x:c>
      <x:c r="X293" s="39" t="str">
        <x:v>这批文件马上要交付，帮我把几项工作一起收尾：第1件：在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x:v>
      </x:c>
      <x:c r="Y293"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93" s="39" t="str">
        <x:v>不适用：当前题目不存在需要用户进一步选择的候选记忆。</x:v>
      </x:c>
      <x:c r="AA293" s="39" t="str">
        <x:v>不适用：当前题目没有指定需要排除的冲突或禁止记忆。</x:v>
      </x:c>
      <x:c r="AB293" s="39" t="str">
        <x:v>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C293"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93" s="39" t="str">
        <x:v>用户的完整请求是：“这批文件马上要交付，帮我把几项工作一起收尾：第1件：在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E293" s="39" t="str">
        <x:v>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93" s="50" t="str">
        <x:v>not_pass</x:v>
      </x:c>
      <x:c r="AG293" s="50" t="n">
        <x:v>0</x:v>
      </x:c>
    </x:row>
    <x:row r="294" ht="202.5" customHeight="1">
      <x:c r="A294" s="35" t="str">
        <x:v>V3_CM17_Q03</x:v>
      </x:c>
      <x:c r="B294" s="36" t="str">
        <x:v>SG_COMP_CM17</x:v>
      </x:c>
      <x:c r="C294" s="36" t="str">
        <x:v>CM17</x:v>
      </x:c>
      <x:c r="D294" s="36" t="str">
        <x:v>文本公式与小数分隔符</x:v>
      </x:c>
      <x:c r="E294" s="36" t="str">
        <x:v>complementary_multi_memory</x:v>
      </x:c>
      <x:c r="F294" s="36" t="str">
        <x:v>contextual_ellipsis</x:v>
      </x:c>
      <x:c r="G294" s="36" t="str">
        <x:v>challenge</x:v>
      </x:c>
      <x:c r="H294" s="36" t="str">
        <x:v>困难</x:v>
      </x:c>
      <x:c r="I294" s="36" t="str">
        <x:v>4f07fbe9-70de-4927-a4d5-bb28bc12c52c|a01fbce3-2793-461f-ab86-43680ccbae25</x:v>
      </x:c>
      <x:c r="J294" s="36" t="str">
        <x:v>CTX_4f07fbe9-70de-4927-a4d5-bb28bc12c52c|CTX_a01fbce3-2793-461f-ab86-43680ccbae25</x:v>
      </x:c>
      <x:c r="K294" s="36" t="str">
        <x:v>LTM_4f07fbe9-70de-4927-a4d5-bb28bc12c52c|STM_a01fbce3-2793-461f-ab86-43680ccbae25</x:v>
      </x:c>
      <x:c r="L294" s="36" t="str"/>
      <x:c r="M294" s="36" t="str"/>
      <x:c r="N294" s="36" t="str">
        <x:v>知识|工作流程</x:v>
      </x:c>
      <x:c r="O294" s="36" t="str">
        <x:v>长期|短期</x:v>
      </x:c>
      <x:c r="P294" s="36" t="str">
        <x:v>["libreoffice_calc"]</x:v>
      </x:c>
      <x:c r="Q294" s="36" t="str">
        <x:v>[{"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x:v>
      </x:c>
      <x:c r="R294" s="36" t="str">
        <x:v>[]</x:v>
      </x:c>
      <x:c r="S294" s="36" t="str">
        <x:v>format_embedded_number_to_two_decimals|set_decimal_separator_comma</x:v>
      </x:c>
      <x:c r="T294" s="36" t="str">
        <x:v>Padding_Decimals_In_Formular.xlsx|Set_Decimal_Separator_Dot.xlsx</x:v>
      </x:c>
      <x:c r="U294" s="36" t="str">
        <x:v>retrieve_and_synthesize</x:v>
      </x:c>
      <x:c r="V294" s="36" t="str">
        <x:v>[{"point_id":"P1","description":"在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x:v>
      </x:c>
      <x:c r="W294" s="36" t="str">
        <x:v>1.00</x:v>
      </x:c>
      <x:c r="X294" s="39" t="str">
        <x:v>相关工作表我都打开了，接着分别处理：第1件：在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x:v>
      </x:c>
      <x:c r="Y294"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94" s="39" t="str">
        <x:v>不适用：当前题目不存在需要用户进一步选择的候选记忆。</x:v>
      </x:c>
      <x:c r="AA294" s="39" t="str">
        <x:v>不适用：当前题目没有指定需要排除的冲突或禁止记忆。</x:v>
      </x:c>
      <x:c r="AB294" s="39" t="str">
        <x:v>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C294"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94" s="39" t="str">
        <x:v>用户的完整请求是：“相关工作表我都打开了，接着分别处理：第1件：在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E294" s="39" t="str">
        <x:v>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94" s="50" t="str">
        <x:v>not_pass</x:v>
      </x:c>
      <x:c r="AG294" s="50" t="n">
        <x:v>0</x:v>
      </x:c>
    </x:row>
    <x:row r="295" ht="202.5" customHeight="1">
      <x:c r="A295" s="35" t="str">
        <x:v>V3_CM17_Q04</x:v>
      </x:c>
      <x:c r="B295" s="36" t="str">
        <x:v>SG_COMP_CM17</x:v>
      </x:c>
      <x:c r="C295" s="36" t="str">
        <x:v>CM17</x:v>
      </x:c>
      <x:c r="D295" s="36" t="str">
        <x:v>文本公式与小数分隔符</x:v>
      </x:c>
      <x:c r="E295" s="36" t="str">
        <x:v>complementary_multi_memory</x:v>
      </x:c>
      <x:c r="F295" s="36" t="str">
        <x:v>low_overlap_paraphrase</x:v>
      </x:c>
      <x:c r="G295" s="36" t="str">
        <x:v>challenge</x:v>
      </x:c>
      <x:c r="H295" s="36" t="str">
        <x:v>困难</x:v>
      </x:c>
      <x:c r="I295" s="36" t="str">
        <x:v>4f07fbe9-70de-4927-a4d5-bb28bc12c52c|a01fbce3-2793-461f-ab86-43680ccbae25</x:v>
      </x:c>
      <x:c r="J295" s="36" t="str">
        <x:v>CTX_4f07fbe9-70de-4927-a4d5-bb28bc12c52c|CTX_a01fbce3-2793-461f-ab86-43680ccbae25</x:v>
      </x:c>
      <x:c r="K295" s="36" t="str">
        <x:v>LTM_4f07fbe9-70de-4927-a4d5-bb28bc12c52c|STM_a01fbce3-2793-461f-ab86-43680ccbae25</x:v>
      </x:c>
      <x:c r="L295" s="36" t="str"/>
      <x:c r="M295" s="36" t="str"/>
      <x:c r="N295" s="36" t="str">
        <x:v>知识|工作流程</x:v>
      </x:c>
      <x:c r="O295" s="36" t="str">
        <x:v>长期|短期</x:v>
      </x:c>
      <x:c r="P295" s="36" t="str">
        <x:v>["libreoffice_calc"]</x:v>
      </x:c>
      <x:c r="Q295" s="36" t="str">
        <x:v>[{"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x:v>
      </x:c>
      <x:c r="R295" s="36" t="str">
        <x:v>[]</x:v>
      </x:c>
      <x:c r="S295" s="36" t="str">
        <x:v>format_embedded_number_to_two_decimals|set_decimal_separator_comma</x:v>
      </x:c>
      <x:c r="T295" s="36" t="str">
        <x:v>Padding_Decimals_In_Formular.xlsx|Set_Decimal_Separator_Dot.xlsx</x:v>
      </x:c>
      <x:c r="U295" s="36" t="str">
        <x:v>retrieve_and_synthesize</x:v>
      </x:c>
      <x:c r="V295" s="36" t="str">
        <x:v>[{"point_id":"P1","description":"在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x:v>
      </x:c>
      <x:c r="W295" s="36" t="str">
        <x:v>1.00</x:v>
      </x:c>
      <x:c r="X295" s="39" t="str">
        <x:v>我想一次把这批工作做完：第1件：在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中把整张表数值的小数分隔符显示为逗号，同时保持各个小数的实际数值和精度不变。不同文件的规则别串在一起。</x:v>
      </x:c>
      <x:c r="Y295"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95" s="39" t="str">
        <x:v>不适用：当前题目不存在需要用户进一步选择的候选记忆。</x:v>
      </x:c>
      <x:c r="AA295" s="39" t="str">
        <x:v>不适用：当前题目没有指定需要排除的冲突或禁止记忆。</x:v>
      </x:c>
      <x:c r="AB295" s="39" t="str">
        <x:v>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C295"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95" s="39" t="str">
        <x:v>用户的完整请求是：“我想一次把这批工作做完：第1件：在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中把整张表数值的小数分隔符显示为逗号，同时保持各个小数的实际数值和精度不变。不同文件的规则别串在一起。”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E295" s="39" t="str">
        <x:v>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95" s="50" t="str">
        <x:v>not_pass</x:v>
      </x:c>
      <x:c r="AG295" s="50" t="n">
        <x:v>0</x:v>
      </x:c>
    </x:row>
    <x:row r="296" ht="202.5" customHeight="1">
      <x:c r="A296" s="35" t="str">
        <x:v>V3_CM17_Q05</x:v>
      </x:c>
      <x:c r="B296" s="36" t="str">
        <x:v>SG_COMP_CM17</x:v>
      </x:c>
      <x:c r="C296" s="36" t="str">
        <x:v>CM17</x:v>
      </x:c>
      <x:c r="D296" s="36" t="str">
        <x:v>文本公式与小数分隔符</x:v>
      </x:c>
      <x:c r="E296" s="36" t="str">
        <x:v>complementary_multi_memory</x:v>
      </x:c>
      <x:c r="F296" s="36" t="str">
        <x:v>human_constraint_emphasis</x:v>
      </x:c>
      <x:c r="G296" s="36" t="str">
        <x:v>challenge</x:v>
      </x:c>
      <x:c r="H296" s="36" t="str">
        <x:v>困难</x:v>
      </x:c>
      <x:c r="I296" s="36" t="str">
        <x:v>4f07fbe9-70de-4927-a4d5-bb28bc12c52c|a01fbce3-2793-461f-ab86-43680ccbae25</x:v>
      </x:c>
      <x:c r="J296" s="36" t="str">
        <x:v>CTX_4f07fbe9-70de-4927-a4d5-bb28bc12c52c|CTX_a01fbce3-2793-461f-ab86-43680ccbae25</x:v>
      </x:c>
      <x:c r="K296" s="36" t="str">
        <x:v>LTM_4f07fbe9-70de-4927-a4d5-bb28bc12c52c|STM_a01fbce3-2793-461f-ab86-43680ccbae25</x:v>
      </x:c>
      <x:c r="L296" s="36" t="str"/>
      <x:c r="M296" s="36" t="str"/>
      <x:c r="N296" s="36" t="str">
        <x:v>知识|工作流程</x:v>
      </x:c>
      <x:c r="O296" s="36" t="str">
        <x:v>长期|短期</x:v>
      </x:c>
      <x:c r="P296" s="36" t="str">
        <x:v>["libreoffice_calc"]</x:v>
      </x:c>
      <x:c r="Q296" s="36" t="str">
        <x:v>[{"step_id":"S1","app":"libreoffice_calc","action_key":"format_embedded_number_to_two_decimals","input_artifacts":["Padding_Decimals_In_Formular.xlsx"],"output_artifacts":["[\"Padding_Decimals_In_Formular.xlsx\",\"Padding_Decimals_In_Formular-Sheet1.csv\"]"],"depends_on":[]},{"step_id":"S2","app":"libreoffice_calc","action_key":"set_decimal_separator_comma","input_artifacts":["Set_Decimal_Separator_Dot.xlsx"],"output_artifacts":["[\"Set_Decimal_Separator_Dot.xlsx\",\"Set_Decimal_Separator_Dot-Sheet1.csv\"]"],"depends_on":[]}]</x:v>
      </x:c>
      <x:c r="R296" s="36" t="str">
        <x:v>[]</x:v>
      </x:c>
      <x:c r="S296" s="36" t="str">
        <x:v>format_embedded_number_to_two_decimals|set_decimal_separator_comma</x:v>
      </x:c>
      <x:c r="T296" s="36" t="str">
        <x:v>Padding_Decimals_In_Formular.xlsx|Set_Decimal_Separator_Dot.xlsx</x:v>
      </x:c>
      <x:c r="U296" s="36" t="str">
        <x:v>retrieve_and_synthesize</x:v>
      </x:c>
      <x:c r="V296" s="36" t="str">
        <x:v>[{"point_id":"P1","description":"在 Padding_Decimals_In_Formular.xlsx 中处理文本公式里的数值显示，使嵌入文本的数字也固定保留两位小数，而不是只修改原数值单元格的显示格式。","weight":0.45,"evidence_memory_ids":["LTM_4f07fbe9-70de-4927-a4d5-bb28bc12c52c"]},{"point_id":"P2","description":"在 Set_Decimal_Separator_Dot.xlsx 中把整张表数值的小数分隔符显示为逗号，同时保持各个小数的实际数值和精度不变。","weight":0.45,"evidence_memory_ids":["STM_a01fbce3-2793-461f-ab86-43680ccbae25"]},{"point_id":"P3","description":"各文件和各步骤的规则不串用，不增加无来源操作","weight":0.1,"evidence_memory_ids":["LTM_4f07fbe9-70de-4927-a4d5-bb28bc12c52c","STM_a01fbce3-2793-461f-ab86-43680ccbae25"]}]</x:v>
      </x:c>
      <x:c r="W296" s="36" t="str">
        <x:v>1.00</x:v>
      </x:c>
      <x:c r="X296" s="39" t="str">
        <x:v>这次按文件分别处理，要求如下：第1件：在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x:v>
      </x:c>
      <x:c r="Y296"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Z296" s="39" t="str">
        <x:v>不适用：当前题目不存在需要用户进一步选择的候选记忆。</x:v>
      </x:c>
      <x:c r="AA296" s="39" t="str">
        <x:v>不适用：当前题目没有指定需要排除的冲突或禁止记忆。</x:v>
      </x:c>
      <x:c r="AB296" s="39" t="str">
        <x:v>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C296"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第2项实际操作：在 Set_Decimal_Separator_Dot.xlsx 中把整张表数值的小数分隔符显示为逗号，同时保持各个小数的实际数值和精度不变。执行时必须满足：小数分隔符改为逗号；不得改变数值大小或已有小数位；覆盖表内所有数值。</x:v>
      </x:c>
      <x:c r="AD296" s="39" t="str">
        <x:v>用户的完整请求是：“这次按文件分别处理，要求如下：第1件：在 Padding_Decimals_In_Formular.xlsx 中处理文本公式里的数值显示，使嵌入文本的数字也固定保留两位小数，而不是只修改原数值单元格的显示格式；第2件：在 Set_Decimal_Separator_Dot.xlsx 中把整张表数值的小数分隔符显示为逗号，同时保持各个小数的实际数值和精度不变。” 第1个当前上下文：Padding_Decimals_In_Formular.xlsx 已在 LibreOffice Calc 中打开。 第2个当前上下文：Set_Decimal_Separator_Dot.xlsx 已在 LibreOffice Calc 中打开。 当前请求要求在同一轮工作中得到多个结果。能够支持这些结果的完整必需记忆如下：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Padding_Decimals_In_Formular.xlsx 中处理文本公式里的数值显示，使嵌入文本的数字也固定保留两位小数，而不是只修改原数值单元格的显示格式；2）在 Set_Decimal_Separator_Dot.xlsx 中把整张表数值的小数分隔符显示为逗号，同时保持各个小数的实际数值和精度不变。每项操作必须分别遵守其对应文件、工作表、范围、格式和输出约束，不能用其中一项替代另一项，也不能把不同文件的规则混用。”</x:v>
      </x:c>
      <x:c r="AE296" s="39" t="str">
        <x:v>本题总分为 1.00 分，各得分点独立累计，允许语义等价表达，不要求模型输出记忆 ID，也不要求逐字复述记忆原文。
第1个得分点（0.45分）：在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第2个得分点（0.45分）：在 Set_Decimal_Separator_Dot.xlsx 中把整张表数值的小数分隔符显示为逗号，同时保持各个小数的实际数值和精度不变。该得分点所依据的完整证据为：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第3个得分点（0.10分）：各文件和各步骤的规则不串用，不增加无来源操作。该得分点所依据的完整证据为：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296" s="50" t="str">
        <x:v>not_pass</x:v>
      </x:c>
      <x:c r="AG296" s="50" t="n">
        <x:v>0</x:v>
      </x:c>
    </x:row>
    <x:row r="297" ht="189" customHeight="1">
      <x:c r="A297" s="35" t="str">
        <x:v>V3_CM18_Q01</x:v>
      </x:c>
      <x:c r="B297" s="36" t="str">
        <x:v>SG_COMP_CM18</x:v>
      </x:c>
      <x:c r="C297" s="36" t="str">
        <x:v>CM18</x:v>
      </x:c>
      <x:c r="D297" s="36" t="str">
        <x:v>客户编号与订单序号</x:v>
      </x:c>
      <x:c r="E297" s="36" t="str">
        <x:v>complementary_multi_memory</x:v>
      </x:c>
      <x:c r="F297" s="36" t="str">
        <x:v>human_context_explicit</x:v>
      </x:c>
      <x:c r="G297" s="36" t="str">
        <x:v>challenge</x:v>
      </x:c>
      <x:c r="H297" s="36" t="str">
        <x:v>困难</x:v>
      </x:c>
      <x:c r="I297" s="36" t="str">
        <x:v>0bf05a7d-b28b-44d2-955a-50b41e24012a|7efeb4b1-3d19-4762-b163-63328d66303b</x:v>
      </x:c>
      <x:c r="J297" s="36" t="str">
        <x:v>CTX_0bf05a7d-b28b-44d2-955a-50b41e24012a|CTX_7efeb4b1-3d19-4762-b163-63328d66303b</x:v>
      </x:c>
      <x:c r="K297" s="36" t="str">
        <x:v>LTM_0bf05a7d-b28b-44d2-955a-50b41e24012a|MTM_7efeb4b1-3d19-4762-b163-63328d66303b</x:v>
      </x:c>
      <x:c r="L297" s="36" t="str"/>
      <x:c r="M297" s="36" t="str"/>
      <x:c r="N297" s="36" t="str">
        <x:v>工作流程|可复用模板</x:v>
      </x:c>
      <x:c r="O297" s="36" t="str">
        <x:v>长期|中期</x:v>
      </x:c>
      <x:c r="P297" s="36" t="str">
        <x:v>["libreoffice_calc"]</x:v>
      </x:c>
      <x:c r="Q297" s="36" t="str">
        <x:v>[{"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x:v>
      </x:c>
      <x:c r="R297" s="36" t="str">
        <x:v>[]</x:v>
      </x:c>
      <x:c r="S297" s="36" t="str">
        <x:v>pad_customer_ids_to_seven_digits|fill_order_sequence_labels</x:v>
      </x:c>
      <x:c r="T297" s="36" t="str">
        <x:v>Customers_New_7digit_Id.xlsx|Order_Sales_Serial#.xlsx</x:v>
      </x:c>
      <x:c r="U297" s="36" t="str">
        <x:v>retrieve_and_synthesize</x:v>
      </x:c>
      <x:c r="V297" s="36" t="str">
        <x:v>[{"point_id":"P1","description":"把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x:v>
      </x:c>
      <x:c r="W297" s="36" t="str">
        <x:v>1.00</x:v>
      </x:c>
      <x:c r="X297" s="39" t="str">
        <x:v>我今天要一起处理这批表。先做第1件事：把 Customers_New_7digit_Id.xlsx 中 Old ID 列的编号复制到 New 7 Digit Id 列，并在前面补零，使每个编号恰好为 7 位；再做第2件事：在 Order_Sales_Serial#.xlsx 的 Seq No. 列中按顺序填入 No. # 格式的序号。都按各自原来的规则完成。</x:v>
      </x:c>
      <x:c r="Y297" s="39" t="str">
        <x:v>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x:v>
      </x:c>
      <x:c r="Z297" s="39" t="str">
        <x:v>不适用：当前题目不存在需要用户进一步选择的候选记忆。</x:v>
      </x:c>
      <x:c r="AA297" s="39" t="str">
        <x:v>不适用：当前题目没有指定需要排除的冲突或禁止记忆。</x:v>
      </x:c>
      <x:c r="AB297" s="39" t="str">
        <x:v>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C297" s="39" t="str">
        <x:v>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x:v>
      </x:c>
      <x:c r="AD297" s="39" t="str">
        <x:v>用户的完整请求是：“我今天要一起处理这批表。先做第1件事：把 Customers_New_7digit_Id.xlsx 中 Old ID 列的编号复制到 New 7 Digit Id 列，并在前面补零，使每个编号恰好为 7 位；再做第2件事：在 Order_Sales_Serial#.xlsx 的 Seq No. 列中按顺序填入 No. # 格式的序号。都按各自原来的规则完成。”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E297" s="39" t="str">
        <x:v>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297" s="50" t="str">
        <x:v>not_pass</x:v>
      </x:c>
      <x:c r="AG297" s="50" t="n">
        <x:v>0</x:v>
      </x:c>
    </x:row>
    <x:row r="298" ht="189" customHeight="1">
      <x:c r="A298" s="35" t="str">
        <x:v>V3_CM18_Q02</x:v>
      </x:c>
      <x:c r="B298" s="36" t="str">
        <x:v>SG_COMP_CM18</x:v>
      </x:c>
      <x:c r="C298" s="36" t="str">
        <x:v>CM18</x:v>
      </x:c>
      <x:c r="D298" s="36" t="str">
        <x:v>客户编号与订单序号</x:v>
      </x:c>
      <x:c r="E298" s="36" t="str">
        <x:v>complementary_multi_memory</x:v>
      </x:c>
      <x:c r="F298" s="36" t="str">
        <x:v>human_goal_oriented</x:v>
      </x:c>
      <x:c r="G298" s="36" t="str">
        <x:v>challenge</x:v>
      </x:c>
      <x:c r="H298" s="36" t="str">
        <x:v>困难</x:v>
      </x:c>
      <x:c r="I298" s="36" t="str">
        <x:v>0bf05a7d-b28b-44d2-955a-50b41e24012a|7efeb4b1-3d19-4762-b163-63328d66303b</x:v>
      </x:c>
      <x:c r="J298" s="36" t="str">
        <x:v>CTX_0bf05a7d-b28b-44d2-955a-50b41e24012a|CTX_7efeb4b1-3d19-4762-b163-63328d66303b</x:v>
      </x:c>
      <x:c r="K298" s="36" t="str">
        <x:v>LTM_0bf05a7d-b28b-44d2-955a-50b41e24012a|MTM_7efeb4b1-3d19-4762-b163-63328d66303b</x:v>
      </x:c>
      <x:c r="L298" s="36" t="str"/>
      <x:c r="M298" s="36" t="str"/>
      <x:c r="N298" s="36" t="str">
        <x:v>工作流程|可复用模板</x:v>
      </x:c>
      <x:c r="O298" s="36" t="str">
        <x:v>长期|中期</x:v>
      </x:c>
      <x:c r="P298" s="36" t="str">
        <x:v>["libreoffice_calc"]</x:v>
      </x:c>
      <x:c r="Q298" s="36" t="str">
        <x:v>[{"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x:v>
      </x:c>
      <x:c r="R298" s="36" t="str">
        <x:v>[]</x:v>
      </x:c>
      <x:c r="S298" s="36" t="str">
        <x:v>pad_customer_ids_to_seven_digits|fill_order_sequence_labels</x:v>
      </x:c>
      <x:c r="T298" s="36" t="str">
        <x:v>Customers_New_7digit_Id.xlsx|Order_Sales_Serial#.xlsx</x:v>
      </x:c>
      <x:c r="U298" s="36" t="str">
        <x:v>retrieve_and_synthesize</x:v>
      </x:c>
      <x:c r="V298" s="36" t="str">
        <x:v>[{"point_id":"P1","description":"把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x:v>
      </x:c>
      <x:c r="W298" s="36" t="str">
        <x:v>1.00</x:v>
      </x:c>
      <x:c r="X298" s="39" t="str">
        <x:v>这批文件马上要交付，帮我把几项工作一起收尾：第1件：把 Customers_New_7digit_Id.xlsx 中 Old ID 列的编号复制到 New 7 Digit Id 列，并在前面补零，使每个编号恰好为 7 位；第2件：在 Order_Sales_Serial#.xlsx 的 Seq No. 列中按顺序填入 No. # 格式的序号。</x:v>
      </x:c>
      <x:c r="Y298" s="39" t="str">
        <x:v>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x:v>
      </x:c>
      <x:c r="Z298" s="39" t="str">
        <x:v>不适用：当前题目不存在需要用户进一步选择的候选记忆。</x:v>
      </x:c>
      <x:c r="AA298" s="39" t="str">
        <x:v>不适用：当前题目没有指定需要排除的冲突或禁止记忆。</x:v>
      </x:c>
      <x:c r="AB298" s="39" t="str">
        <x:v>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C298" s="39" t="str">
        <x:v>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x:v>
      </x:c>
      <x:c r="AD298" s="39" t="str">
        <x:v>用户的完整请求是：“这批文件马上要交付，帮我把几项工作一起收尾：第1件：把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E298" s="39" t="str">
        <x:v>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298" s="50" t="str">
        <x:v>not_pass</x:v>
      </x:c>
      <x:c r="AG298" s="50" t="n">
        <x:v>0</x:v>
      </x:c>
    </x:row>
    <x:row r="299" ht="189" customHeight="1">
      <x:c r="A299" s="35" t="str">
        <x:v>V3_CM18_Q03</x:v>
      </x:c>
      <x:c r="B299" s="36" t="str">
        <x:v>SG_COMP_CM18</x:v>
      </x:c>
      <x:c r="C299" s="36" t="str">
        <x:v>CM18</x:v>
      </x:c>
      <x:c r="D299" s="36" t="str">
        <x:v>客户编号与订单序号</x:v>
      </x:c>
      <x:c r="E299" s="36" t="str">
        <x:v>complementary_multi_memory</x:v>
      </x:c>
      <x:c r="F299" s="36" t="str">
        <x:v>contextual_ellipsis</x:v>
      </x:c>
      <x:c r="G299" s="36" t="str">
        <x:v>challenge</x:v>
      </x:c>
      <x:c r="H299" s="36" t="str">
        <x:v>困难</x:v>
      </x:c>
      <x:c r="I299" s="36" t="str">
        <x:v>0bf05a7d-b28b-44d2-955a-50b41e24012a|7efeb4b1-3d19-4762-b163-63328d66303b</x:v>
      </x:c>
      <x:c r="J299" s="36" t="str">
        <x:v>CTX_0bf05a7d-b28b-44d2-955a-50b41e24012a|CTX_7efeb4b1-3d19-4762-b163-63328d66303b</x:v>
      </x:c>
      <x:c r="K299" s="36" t="str">
        <x:v>LTM_0bf05a7d-b28b-44d2-955a-50b41e24012a|MTM_7efeb4b1-3d19-4762-b163-63328d66303b</x:v>
      </x:c>
      <x:c r="L299" s="36" t="str"/>
      <x:c r="M299" s="36" t="str"/>
      <x:c r="N299" s="36" t="str">
        <x:v>工作流程|可复用模板</x:v>
      </x:c>
      <x:c r="O299" s="36" t="str">
        <x:v>长期|中期</x:v>
      </x:c>
      <x:c r="P299" s="36" t="str">
        <x:v>["libreoffice_calc"]</x:v>
      </x:c>
      <x:c r="Q299" s="36" t="str">
        <x:v>[{"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x:v>
      </x:c>
      <x:c r="R299" s="36" t="str">
        <x:v>[]</x:v>
      </x:c>
      <x:c r="S299" s="36" t="str">
        <x:v>pad_customer_ids_to_seven_digits|fill_order_sequence_labels</x:v>
      </x:c>
      <x:c r="T299" s="36" t="str">
        <x:v>Customers_New_7digit_Id.xlsx|Order_Sales_Serial#.xlsx</x:v>
      </x:c>
      <x:c r="U299" s="36" t="str">
        <x:v>retrieve_and_synthesize</x:v>
      </x:c>
      <x:c r="V299" s="36" t="str">
        <x:v>[{"point_id":"P1","description":"把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x:v>
      </x:c>
      <x:c r="W299" s="36" t="str">
        <x:v>1.00</x:v>
      </x:c>
      <x:c r="X299" s="39" t="str">
        <x:v>相关工作表我都打开了，接着分别处理：第1件：把 Customers_New_7digit_Id.xlsx 中 Old ID 列的编号复制到 New 7 Digit Id 列，并在前面补零，使每个编号恰好为 7 位；第2件：在 Order_Sales_Serial#.xlsx 的 Seq No. 列中按顺序填入 No. # 格式的序号。</x:v>
      </x:c>
      <x:c r="Y299" s="39" t="str">
        <x:v>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x:v>
      </x:c>
      <x:c r="Z299" s="39" t="str">
        <x:v>不适用：当前题目不存在需要用户进一步选择的候选记忆。</x:v>
      </x:c>
      <x:c r="AA299" s="39" t="str">
        <x:v>不适用：当前题目没有指定需要排除的冲突或禁止记忆。</x:v>
      </x:c>
      <x:c r="AB299" s="39" t="str">
        <x:v>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C299" s="39" t="str">
        <x:v>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x:v>
      </x:c>
      <x:c r="AD299" s="39" t="str">
        <x:v>用户的完整请求是：“相关工作表我都打开了，接着分别处理：第1件：把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E299" s="39" t="str">
        <x:v>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299" s="50" t="str">
        <x:v>not_pass</x:v>
      </x:c>
      <x:c r="AG299" s="50" t="n">
        <x:v>0</x:v>
      </x:c>
    </x:row>
    <x:row r="300" ht="189" customHeight="1">
      <x:c r="A300" s="35" t="str">
        <x:v>V3_CM18_Q04</x:v>
      </x:c>
      <x:c r="B300" s="36" t="str">
        <x:v>SG_COMP_CM18</x:v>
      </x:c>
      <x:c r="C300" s="36" t="str">
        <x:v>CM18</x:v>
      </x:c>
      <x:c r="D300" s="36" t="str">
        <x:v>客户编号与订单序号</x:v>
      </x:c>
      <x:c r="E300" s="36" t="str">
        <x:v>complementary_multi_memory</x:v>
      </x:c>
      <x:c r="F300" s="36" t="str">
        <x:v>low_overlap_paraphrase</x:v>
      </x:c>
      <x:c r="G300" s="36" t="str">
        <x:v>challenge</x:v>
      </x:c>
      <x:c r="H300" s="36" t="str">
        <x:v>困难</x:v>
      </x:c>
      <x:c r="I300" s="36" t="str">
        <x:v>0bf05a7d-b28b-44d2-955a-50b41e24012a|7efeb4b1-3d19-4762-b163-63328d66303b</x:v>
      </x:c>
      <x:c r="J300" s="36" t="str">
        <x:v>CTX_0bf05a7d-b28b-44d2-955a-50b41e24012a|CTX_7efeb4b1-3d19-4762-b163-63328d66303b</x:v>
      </x:c>
      <x:c r="K300" s="36" t="str">
        <x:v>LTM_0bf05a7d-b28b-44d2-955a-50b41e24012a|MTM_7efeb4b1-3d19-4762-b163-63328d66303b</x:v>
      </x:c>
      <x:c r="L300" s="36" t="str"/>
      <x:c r="M300" s="36" t="str"/>
      <x:c r="N300" s="36" t="str">
        <x:v>工作流程|可复用模板</x:v>
      </x:c>
      <x:c r="O300" s="36" t="str">
        <x:v>长期|中期</x:v>
      </x:c>
      <x:c r="P300" s="36" t="str">
        <x:v>["libreoffice_calc"]</x:v>
      </x:c>
      <x:c r="Q300" s="36" t="str">
        <x:v>[{"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x:v>
      </x:c>
      <x:c r="R300" s="36" t="str">
        <x:v>[]</x:v>
      </x:c>
      <x:c r="S300" s="36" t="str">
        <x:v>pad_customer_ids_to_seven_digits|fill_order_sequence_labels</x:v>
      </x:c>
      <x:c r="T300" s="36" t="str">
        <x:v>Customers_New_7digit_Id.xlsx|Order_Sales_Serial#.xlsx</x:v>
      </x:c>
      <x:c r="U300" s="36" t="str">
        <x:v>retrieve_and_synthesize</x:v>
      </x:c>
      <x:c r="V300" s="36" t="str">
        <x:v>[{"point_id":"P1","description":"把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x:v>
      </x:c>
      <x:c r="W300" s="36" t="str">
        <x:v>1.00</x:v>
      </x:c>
      <x:c r="X300" s="39" t="str">
        <x:v>我想一次把这批工作做完：第1件：把 Customers_New_7digit_Id.xlsx 中 Old ID 列的编号复制到 New 7 Digit Id 列，并在前面补零，使每个编号恰好为 7 位；第2件：在 Order_Sales_Serial#.xlsx 的 Seq No. 列中按顺序填入 No. # 格式的序号。不同文件的规则别串在一起。</x:v>
      </x:c>
      <x:c r="Y300" s="39" t="str">
        <x:v>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x:v>
      </x:c>
      <x:c r="Z300" s="39" t="str">
        <x:v>不适用：当前题目不存在需要用户进一步选择的候选记忆。</x:v>
      </x:c>
      <x:c r="AA300" s="39" t="str">
        <x:v>不适用：当前题目没有指定需要排除的冲突或禁止记忆。</x:v>
      </x:c>
      <x:c r="AB300" s="39" t="str">
        <x:v>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C300" s="39" t="str">
        <x:v>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x:v>
      </x:c>
      <x:c r="AD300" s="39" t="str">
        <x:v>用户的完整请求是：“我想一次把这批工作做完：第1件：把 Customers_New_7digit_Id.xlsx 中 Old ID 列的编号复制到 New 7 Digit Id 列，并在前面补零，使每个编号恰好为 7 位；第2件：在 Order_Sales_Serial#.xlsx 的 Seq No. 列中按顺序填入 No. # 格式的序号。不同文件的规则别串在一起。”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E300" s="39" t="str">
        <x:v>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300" s="50" t="str">
        <x:v>not_pass</x:v>
      </x:c>
      <x:c r="AG300" s="50" t="n">
        <x:v>0</x:v>
      </x:c>
    </x:row>
    <x:row r="301" ht="189" customHeight="1">
      <x:c r="A301" s="35" t="str">
        <x:v>V3_CM18_Q05</x:v>
      </x:c>
      <x:c r="B301" s="36" t="str">
        <x:v>SG_COMP_CM18</x:v>
      </x:c>
      <x:c r="C301" s="36" t="str">
        <x:v>CM18</x:v>
      </x:c>
      <x:c r="D301" s="36" t="str">
        <x:v>客户编号与订单序号</x:v>
      </x:c>
      <x:c r="E301" s="36" t="str">
        <x:v>complementary_multi_memory</x:v>
      </x:c>
      <x:c r="F301" s="36" t="str">
        <x:v>human_constraint_emphasis</x:v>
      </x:c>
      <x:c r="G301" s="36" t="str">
        <x:v>challenge</x:v>
      </x:c>
      <x:c r="H301" s="36" t="str">
        <x:v>困难</x:v>
      </x:c>
      <x:c r="I301" s="36" t="str">
        <x:v>0bf05a7d-b28b-44d2-955a-50b41e24012a|7efeb4b1-3d19-4762-b163-63328d66303b</x:v>
      </x:c>
      <x:c r="J301" s="36" t="str">
        <x:v>CTX_0bf05a7d-b28b-44d2-955a-50b41e24012a|CTX_7efeb4b1-3d19-4762-b163-63328d66303b</x:v>
      </x:c>
      <x:c r="K301" s="36" t="str">
        <x:v>LTM_0bf05a7d-b28b-44d2-955a-50b41e24012a|MTM_7efeb4b1-3d19-4762-b163-63328d66303b</x:v>
      </x:c>
      <x:c r="L301" s="36" t="str"/>
      <x:c r="M301" s="36" t="str"/>
      <x:c r="N301" s="36" t="str">
        <x:v>工作流程|可复用模板</x:v>
      </x:c>
      <x:c r="O301" s="36" t="str">
        <x:v>长期|中期</x:v>
      </x:c>
      <x:c r="P301" s="36" t="str">
        <x:v>["libreoffice_calc"]</x:v>
      </x:c>
      <x:c r="Q301" s="36" t="str">
        <x:v>[{"step_id":"S1","app":"libreoffice_calc","action_key":"pad_customer_ids_to_seven_digits","input_artifacts":["Customers_New_7digit_Id.xlsx"],"output_artifacts":["[\"Customers_New_7digit_Id.xlsx\",\"Customers_New_7digit_Id-Sheet1.csv\"]"],"depends_on":[]},{"step_id":"S2","app":"libreoffice_calc","action_key":"fill_order_sequence_labels","input_artifacts":["Order_Sales_Serial#.xlsx"],"output_artifacts":["Order_Sales_Serial#.xlsx"],"depends_on":[]}]</x:v>
      </x:c>
      <x:c r="R301" s="36" t="str">
        <x:v>[]</x:v>
      </x:c>
      <x:c r="S301" s="36" t="str">
        <x:v>pad_customer_ids_to_seven_digits|fill_order_sequence_labels</x:v>
      </x:c>
      <x:c r="T301" s="36" t="str">
        <x:v>Customers_New_7digit_Id.xlsx|Order_Sales_Serial#.xlsx</x:v>
      </x:c>
      <x:c r="U301" s="36" t="str">
        <x:v>retrieve_and_synthesize</x:v>
      </x:c>
      <x:c r="V301" s="36" t="str">
        <x:v>[{"point_id":"P1","description":"把 Customers_New_7digit_Id.xlsx 中 Old ID 列的编号复制到 New 7 Digit Id 列，并在前面补零，使每个编号恰好为 7 位。","weight":0.45,"evidence_memory_ids":["LTM_0bf05a7d-b28b-44d2-955a-50b41e24012a"]},{"point_id":"P2","description":"在 Order_Sales_Serial#.xlsx 的 Seq No. 列中按顺序填入 No. # 格式的序号。","weight":0.45,"evidence_memory_ids":["MTM_7efeb4b1-3d19-4762-b163-63328d66303b"]},{"point_id":"P3","description":"各文件和各步骤的规则不串用，不增加无来源操作","weight":0.1,"evidence_memory_ids":["LTM_0bf05a7d-b28b-44d2-955a-50b41e24012a","MTM_7efeb4b1-3d19-4762-b163-63328d66303b"]}]</x:v>
      </x:c>
      <x:c r="W301" s="36" t="str">
        <x:v>1.00</x:v>
      </x:c>
      <x:c r="X301" s="39" t="str">
        <x:v>这次按文件分别处理，要求如下：第1件：把 Customers_New_7digit_Id.xlsx 中 Old ID 列的编号复制到 New 7 Digit Id 列，并在前面补零，使每个编号恰好为 7 位；第2件：在 Order_Sales_Serial#.xlsx 的 Seq No. 列中按顺序填入 No. # 格式的序号。</x:v>
      </x:c>
      <x:c r="Y301" s="39" t="str">
        <x:v>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x:v>
      </x:c>
      <x:c r="Z301" s="39" t="str">
        <x:v>不适用：当前题目不存在需要用户进一步选择的候选记忆。</x:v>
      </x:c>
      <x:c r="AA301" s="39" t="str">
        <x:v>不适用：当前题目没有指定需要排除的冲突或禁止记忆。</x:v>
      </x:c>
      <x:c r="AB301" s="39" t="str">
        <x:v>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C301" s="39" t="str">
        <x:v>第1项实际操作：把 Customers_New_7digit_Id.xlsx 中 Old ID 列的编号复制到 New 7 Digit Id 列，并在前面补零，使每个编号恰好为 7 位。执行时必须满足：保留 Old ID；新编号必须为 7 位；不修改无关区域。 第2项实际操作：在 Order_Sales_Serial#.xlsx 的 Seq No. 列中按顺序填入 No. # 格式的序号。执行时必须满足：序号位于 Seq No. 列；格式为 No. 后接顺序编号；不修改无关区域。</x:v>
      </x:c>
      <x:c r="AD301" s="39" t="str">
        <x:v>用户的完整请求是：“这次按文件分别处理，要求如下：第1件：把 Customers_New_7digit_Id.xlsx 中 Old ID 列的编号复制到 New 7 Digit Id 列，并在前面补零，使每个编号恰好为 7 位；第2件：在 Order_Sales_Serial#.xlsx 的 Seq No. 列中按顺序填入 No. # 格式的序号。” 第1个当前上下文：Customers_New_7digit_Id.xlsx 已在 LibreOffice Calc 中打开。 第2个当前上下文：Order_Sales_Serial#.xlsx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位；2）在 Order_Sales_Serial#.xlsx 的 Seq No. 列中按顺序填入 No. # 格式的序号。每项操作必须分别遵守其对应文件、工作表、范围、格式和输出约束，不能用其中一项替代另一项，也不能把不同文件的规则混用。”</x:v>
      </x:c>
      <x:c r="AE301" s="39" t="str">
        <x:v>本题总分为 1.00 分，各得分点独立累计，允许语义等价表达，不要求模型输出记忆 ID，也不要求逐字复述记忆原文。
第1个得分点（0.45分）：把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第2个得分点（0.45分）：在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第3个得分点（0.10分）：各文件和各步骤的规则不串用，不增加无来源操作。该得分点所依据的完整证据为：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第2条记忆（中期/可复用模板）：在 Order_Sales_Serial#.xlsx 的 Seq No. 列中按顺序填入 No. # 格式的序号。关键约束：序号位于 Seq No. 列；格式为 No. 后接顺序编号；不修改无关区域。
人工复审时，应依据模型最终给出的信息和实际操作是否满足上述每个得分点分别给分；只命中记忆 ID 但没有形成对应结论不能获得该结论分，形成了正确结论但表达方式不同则不应扣分。</x:v>
      </x:c>
      <x:c r="AF301" s="50" t="str">
        <x:v>not_pass</x:v>
      </x:c>
      <x:c r="AG301" s="50" t="n">
        <x:v>0</x:v>
      </x:c>
    </x:row>
    <x:row r="302" ht="202.5" customHeight="1">
      <x:c r="A302" s="35" t="str">
        <x:v>V3_CM19_Q01</x:v>
      </x:c>
      <x:c r="B302" s="36" t="str">
        <x:v>SG_COMP_CM19</x:v>
      </x:c>
      <x:c r="C302" s="36" t="str">
        <x:v>CM19</x:v>
      </x:c>
      <x:c r="D302" s="36" t="str">
        <x:v>分支人员查找与学生等级</x:v>
      </x:c>
      <x:c r="E302" s="36" t="str">
        <x:v>complementary_multi_memory</x:v>
      </x:c>
      <x:c r="F302" s="36" t="str">
        <x:v>human_context_explicit</x:v>
      </x:c>
      <x:c r="G302" s="36" t="str">
        <x:v>challenge</x:v>
      </x:c>
      <x:c r="H302" s="36" t="str">
        <x:v>困难</x:v>
      </x:c>
      <x:c r="I302" s="36" t="str">
        <x:v>7e429b8d-a3f0-4ed0-9b58-08957d00b127|d681960f-7bc3-4286-9913-a8812ba3261a</x:v>
      </x:c>
      <x:c r="J302" s="36" t="str">
        <x:v>CTX_7e429b8d-a3f0-4ed0-9b58-08957d00b127|CTX_d681960f-7bc3-4286-9913-a8812ba3261a</x:v>
      </x:c>
      <x:c r="K302" s="36" t="str">
        <x:v>STM_7e429b8d-a3f0-4ed0-9b58-08957d00b127|MTM_d681960f-7bc3-4286-9913-a8812ba3261a</x:v>
      </x:c>
      <x:c r="L302" s="36" t="str"/>
      <x:c r="M302" s="36" t="str"/>
      <x:c r="N302" s="36" t="str">
        <x:v>知识</x:v>
      </x:c>
      <x:c r="O302" s="36" t="str">
        <x:v>短期|中期</x:v>
      </x:c>
      <x:c r="P302" s="36" t="str">
        <x:v>["libreoffice_calc"]</x:v>
      </x:c>
      <x:c r="Q302" s="36" t="str">
        <x:v>[{"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x:v>
      </x:c>
      <x:c r="R302" s="36" t="str">
        <x:v>[]</x:v>
      </x:c>
      <x:c r="S302" s="36" t="str">
        <x:v>fill_branch_officers_from_lookup|assign_student_grades_from_scale</x:v>
      </x:c>
      <x:c r="T302" s="36" t="str">
        <x:v>VLOOKUP_Fill_the_form.xlsx|Student_Grades_and_Remarks.xlsx</x:v>
      </x:c>
      <x:c r="U302" s="36" t="str">
        <x:v>retrieve_and_synthesize</x:v>
      </x:c>
      <x:c r="V302" s="36" t="str">
        <x:v>[{"point_id":"P1","description":"在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x:v>
      </x:c>
      <x:c r="W302" s="36" t="str">
        <x:v>1.00</x:v>
      </x:c>
      <x:c r="X302" s="39" t="str">
        <x:v>我今天要一起处理这批表。先做第1件事：在 VLOOKUP_Fill_the_form.xlsx 中根据分支机构对照表，以 headoffice/branch name 为键查找对应 officer，并填入另一张表的 officer name 字段；再做第2件事：在 Student_Grades_and_Remarks.xlsx 中依据上方的评分尺度表，为下方每位学生计算并填写对应等级。都按各自原来的规则完成。</x:v>
      </x:c>
      <x:c r="Y302"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x:v>
      </x:c>
      <x:c r="Z302" s="39" t="str">
        <x:v>不适用：当前题目不存在需要用户进一步选择的候选记忆。</x:v>
      </x:c>
      <x:c r="AA302" s="39" t="str">
        <x:v>不适用：当前题目没有指定需要排除的冲突或禁止记忆。</x:v>
      </x:c>
      <x:c r="AB302" s="39" t="str">
        <x:v>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02"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x:v>
      </x:c>
      <x:c r="AD302" s="39" t="str">
        <x:v>用户的完整请求是：“我今天要一起处理这批表。先做第1件事：在 VLOOKUP_Fill_the_form.xlsx 中根据分支机构对照表，以 headoffice/branch name 为键查找对应 officer，并填入另一张表的 officer name 字段；再做第2件事：在 Student_Grades_and_Remarks.xlsx 中依据上方的评分尺度表，为下方每位学生计算并填写对应等级。都按各自原来的规则完成。”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02" s="39" t="str">
        <x:v>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02" s="50" t="str">
        <x:v>not_pass</x:v>
      </x:c>
      <x:c r="AG302" s="50" t="n">
        <x:v>0</x:v>
      </x:c>
    </x:row>
    <x:row r="303" ht="202.5" customHeight="1">
      <x:c r="A303" s="35" t="str">
        <x:v>V3_CM19_Q02</x:v>
      </x:c>
      <x:c r="B303" s="36" t="str">
        <x:v>SG_COMP_CM19</x:v>
      </x:c>
      <x:c r="C303" s="36" t="str">
        <x:v>CM19</x:v>
      </x:c>
      <x:c r="D303" s="36" t="str">
        <x:v>分支人员查找与学生等级</x:v>
      </x:c>
      <x:c r="E303" s="36" t="str">
        <x:v>complementary_multi_memory</x:v>
      </x:c>
      <x:c r="F303" s="36" t="str">
        <x:v>human_goal_oriented</x:v>
      </x:c>
      <x:c r="G303" s="36" t="str">
        <x:v>challenge</x:v>
      </x:c>
      <x:c r="H303" s="36" t="str">
        <x:v>困难</x:v>
      </x:c>
      <x:c r="I303" s="36" t="str">
        <x:v>7e429b8d-a3f0-4ed0-9b58-08957d00b127|d681960f-7bc3-4286-9913-a8812ba3261a</x:v>
      </x:c>
      <x:c r="J303" s="36" t="str">
        <x:v>CTX_7e429b8d-a3f0-4ed0-9b58-08957d00b127|CTX_d681960f-7bc3-4286-9913-a8812ba3261a</x:v>
      </x:c>
      <x:c r="K303" s="36" t="str">
        <x:v>STM_7e429b8d-a3f0-4ed0-9b58-08957d00b127|MTM_d681960f-7bc3-4286-9913-a8812ba3261a</x:v>
      </x:c>
      <x:c r="L303" s="36" t="str"/>
      <x:c r="M303" s="36" t="str"/>
      <x:c r="N303" s="36" t="str">
        <x:v>知识</x:v>
      </x:c>
      <x:c r="O303" s="36" t="str">
        <x:v>短期|中期</x:v>
      </x:c>
      <x:c r="P303" s="36" t="str">
        <x:v>["libreoffice_calc"]</x:v>
      </x:c>
      <x:c r="Q303" s="36" t="str">
        <x:v>[{"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x:v>
      </x:c>
      <x:c r="R303" s="36" t="str">
        <x:v>[]</x:v>
      </x:c>
      <x:c r="S303" s="36" t="str">
        <x:v>fill_branch_officers_from_lookup|assign_student_grades_from_scale</x:v>
      </x:c>
      <x:c r="T303" s="36" t="str">
        <x:v>VLOOKUP_Fill_the_form.xlsx|Student_Grades_and_Remarks.xlsx</x:v>
      </x:c>
      <x:c r="U303" s="36" t="str">
        <x:v>retrieve_and_synthesize</x:v>
      </x:c>
      <x:c r="V303" s="36" t="str">
        <x:v>[{"point_id":"P1","description":"在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x:v>
      </x:c>
      <x:c r="W303" s="36" t="str">
        <x:v>1.00</x:v>
      </x:c>
      <x:c r="X303" s="39" t="str">
        <x:v>这批文件马上要交付，帮我把几项工作一起收尾：第1件：在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x:v>
      </x:c>
      <x:c r="Y303"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x:v>
      </x:c>
      <x:c r="Z303" s="39" t="str">
        <x:v>不适用：当前题目不存在需要用户进一步选择的候选记忆。</x:v>
      </x:c>
      <x:c r="AA303" s="39" t="str">
        <x:v>不适用：当前题目没有指定需要排除的冲突或禁止记忆。</x:v>
      </x:c>
      <x:c r="AB303" s="39" t="str">
        <x:v>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03"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x:v>
      </x:c>
      <x:c r="AD303" s="39" t="str">
        <x:v>用户的完整请求是：“这批文件马上要交付，帮我把几项工作一起收尾：第1件：在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03" s="39" t="str">
        <x:v>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03" s="50" t="str">
        <x:v>not_pass</x:v>
      </x:c>
      <x:c r="AG303" s="50" t="n">
        <x:v>0</x:v>
      </x:c>
    </x:row>
    <x:row r="304" ht="202.5" customHeight="1">
      <x:c r="A304" s="35" t="str">
        <x:v>V3_CM19_Q03</x:v>
      </x:c>
      <x:c r="B304" s="36" t="str">
        <x:v>SG_COMP_CM19</x:v>
      </x:c>
      <x:c r="C304" s="36" t="str">
        <x:v>CM19</x:v>
      </x:c>
      <x:c r="D304" s="36" t="str">
        <x:v>分支人员查找与学生等级</x:v>
      </x:c>
      <x:c r="E304" s="36" t="str">
        <x:v>complementary_multi_memory</x:v>
      </x:c>
      <x:c r="F304" s="36" t="str">
        <x:v>contextual_ellipsis</x:v>
      </x:c>
      <x:c r="G304" s="36" t="str">
        <x:v>challenge</x:v>
      </x:c>
      <x:c r="H304" s="36" t="str">
        <x:v>困难</x:v>
      </x:c>
      <x:c r="I304" s="36" t="str">
        <x:v>7e429b8d-a3f0-4ed0-9b58-08957d00b127|d681960f-7bc3-4286-9913-a8812ba3261a</x:v>
      </x:c>
      <x:c r="J304" s="36" t="str">
        <x:v>CTX_7e429b8d-a3f0-4ed0-9b58-08957d00b127|CTX_d681960f-7bc3-4286-9913-a8812ba3261a</x:v>
      </x:c>
      <x:c r="K304" s="36" t="str">
        <x:v>STM_7e429b8d-a3f0-4ed0-9b58-08957d00b127|MTM_d681960f-7bc3-4286-9913-a8812ba3261a</x:v>
      </x:c>
      <x:c r="L304" s="36" t="str"/>
      <x:c r="M304" s="36" t="str"/>
      <x:c r="N304" s="36" t="str">
        <x:v>知识</x:v>
      </x:c>
      <x:c r="O304" s="36" t="str">
        <x:v>短期|中期</x:v>
      </x:c>
      <x:c r="P304" s="36" t="str">
        <x:v>["libreoffice_calc"]</x:v>
      </x:c>
      <x:c r="Q304" s="36" t="str">
        <x:v>[{"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x:v>
      </x:c>
      <x:c r="R304" s="36" t="str">
        <x:v>[]</x:v>
      </x:c>
      <x:c r="S304" s="36" t="str">
        <x:v>fill_branch_officers_from_lookup|assign_student_grades_from_scale</x:v>
      </x:c>
      <x:c r="T304" s="36" t="str">
        <x:v>VLOOKUP_Fill_the_form.xlsx|Student_Grades_and_Remarks.xlsx</x:v>
      </x:c>
      <x:c r="U304" s="36" t="str">
        <x:v>retrieve_and_synthesize</x:v>
      </x:c>
      <x:c r="V304" s="36" t="str">
        <x:v>[{"point_id":"P1","description":"在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x:v>
      </x:c>
      <x:c r="W304" s="36" t="str">
        <x:v>1.00</x:v>
      </x:c>
      <x:c r="X304" s="39" t="str">
        <x:v>相关工作表我都打开了，接着分别处理：第1件：在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x:v>
      </x:c>
      <x:c r="Y304"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x:v>
      </x:c>
      <x:c r="Z304" s="39" t="str">
        <x:v>不适用：当前题目不存在需要用户进一步选择的候选记忆。</x:v>
      </x:c>
      <x:c r="AA304" s="39" t="str">
        <x:v>不适用：当前题目没有指定需要排除的冲突或禁止记忆。</x:v>
      </x:c>
      <x:c r="AB304" s="39" t="str">
        <x:v>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04"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x:v>
      </x:c>
      <x:c r="AD304" s="39" t="str">
        <x:v>用户的完整请求是：“相关工作表我都打开了，接着分别处理：第1件：在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04" s="39" t="str">
        <x:v>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04" s="50" t="str">
        <x:v>not_pass</x:v>
      </x:c>
      <x:c r="AG304" s="50" t="n">
        <x:v>0</x:v>
      </x:c>
    </x:row>
    <x:row r="305" ht="202.5" customHeight="1">
      <x:c r="A305" s="35" t="str">
        <x:v>V3_CM19_Q04</x:v>
      </x:c>
      <x:c r="B305" s="36" t="str">
        <x:v>SG_COMP_CM19</x:v>
      </x:c>
      <x:c r="C305" s="36" t="str">
        <x:v>CM19</x:v>
      </x:c>
      <x:c r="D305" s="36" t="str">
        <x:v>分支人员查找与学生等级</x:v>
      </x:c>
      <x:c r="E305" s="36" t="str">
        <x:v>complementary_multi_memory</x:v>
      </x:c>
      <x:c r="F305" s="36" t="str">
        <x:v>low_overlap_paraphrase</x:v>
      </x:c>
      <x:c r="G305" s="36" t="str">
        <x:v>challenge</x:v>
      </x:c>
      <x:c r="H305" s="36" t="str">
        <x:v>困难</x:v>
      </x:c>
      <x:c r="I305" s="36" t="str">
        <x:v>7e429b8d-a3f0-4ed0-9b58-08957d00b127|d681960f-7bc3-4286-9913-a8812ba3261a</x:v>
      </x:c>
      <x:c r="J305" s="36" t="str">
        <x:v>CTX_7e429b8d-a3f0-4ed0-9b58-08957d00b127|CTX_d681960f-7bc3-4286-9913-a8812ba3261a</x:v>
      </x:c>
      <x:c r="K305" s="36" t="str">
        <x:v>STM_7e429b8d-a3f0-4ed0-9b58-08957d00b127|MTM_d681960f-7bc3-4286-9913-a8812ba3261a</x:v>
      </x:c>
      <x:c r="L305" s="36" t="str"/>
      <x:c r="M305" s="36" t="str"/>
      <x:c r="N305" s="36" t="str">
        <x:v>知识</x:v>
      </x:c>
      <x:c r="O305" s="36" t="str">
        <x:v>短期|中期</x:v>
      </x:c>
      <x:c r="P305" s="36" t="str">
        <x:v>["libreoffice_calc"]</x:v>
      </x:c>
      <x:c r="Q305" s="36" t="str">
        <x:v>[{"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x:v>
      </x:c>
      <x:c r="R305" s="36" t="str">
        <x:v>[]</x:v>
      </x:c>
      <x:c r="S305" s="36" t="str">
        <x:v>fill_branch_officers_from_lookup|assign_student_grades_from_scale</x:v>
      </x:c>
      <x:c r="T305" s="36" t="str">
        <x:v>VLOOKUP_Fill_the_form.xlsx|Student_Grades_and_Remarks.xlsx</x:v>
      </x:c>
      <x:c r="U305" s="36" t="str">
        <x:v>retrieve_and_synthesize</x:v>
      </x:c>
      <x:c r="V305" s="36" t="str">
        <x:v>[{"point_id":"P1","description":"在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x:v>
      </x:c>
      <x:c r="W305" s="36" t="str">
        <x:v>1.00</x:v>
      </x:c>
      <x:c r="X305" s="39" t="str">
        <x:v>我想一次把这批工作做完：第1件：在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中依据上方的评分尺度表，为下方每位学生计算并填写对应等级。不同文件的规则别串在一起。</x:v>
      </x:c>
      <x:c r="Y305"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x:v>
      </x:c>
      <x:c r="Z305" s="39" t="str">
        <x:v>不适用：当前题目不存在需要用户进一步选择的候选记忆。</x:v>
      </x:c>
      <x:c r="AA305" s="39" t="str">
        <x:v>不适用：当前题目没有指定需要排除的冲突或禁止记忆。</x:v>
      </x:c>
      <x:c r="AB305" s="39" t="str">
        <x:v>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05"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x:v>
      </x:c>
      <x:c r="AD305" s="39" t="str">
        <x:v>用户的完整请求是：“我想一次把这批工作做完：第1件：在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中依据上方的评分尺度表，为下方每位学生计算并填写对应等级。不同文件的规则别串在一起。”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05" s="39" t="str">
        <x:v>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05" s="50" t="str">
        <x:v>not_pass</x:v>
      </x:c>
      <x:c r="AG305" s="50" t="n">
        <x:v>0</x:v>
      </x:c>
    </x:row>
    <x:row r="306" ht="202.5" customHeight="1">
      <x:c r="A306" s="35" t="str">
        <x:v>V3_CM19_Q05</x:v>
      </x:c>
      <x:c r="B306" s="36" t="str">
        <x:v>SG_COMP_CM19</x:v>
      </x:c>
      <x:c r="C306" s="36" t="str">
        <x:v>CM19</x:v>
      </x:c>
      <x:c r="D306" s="36" t="str">
        <x:v>分支人员查找与学生等级</x:v>
      </x:c>
      <x:c r="E306" s="36" t="str">
        <x:v>complementary_multi_memory</x:v>
      </x:c>
      <x:c r="F306" s="36" t="str">
        <x:v>human_constraint_emphasis</x:v>
      </x:c>
      <x:c r="G306" s="36" t="str">
        <x:v>challenge</x:v>
      </x:c>
      <x:c r="H306" s="36" t="str">
        <x:v>困难</x:v>
      </x:c>
      <x:c r="I306" s="36" t="str">
        <x:v>7e429b8d-a3f0-4ed0-9b58-08957d00b127|d681960f-7bc3-4286-9913-a8812ba3261a</x:v>
      </x:c>
      <x:c r="J306" s="36" t="str">
        <x:v>CTX_7e429b8d-a3f0-4ed0-9b58-08957d00b127|CTX_d681960f-7bc3-4286-9913-a8812ba3261a</x:v>
      </x:c>
      <x:c r="K306" s="36" t="str">
        <x:v>STM_7e429b8d-a3f0-4ed0-9b58-08957d00b127|MTM_d681960f-7bc3-4286-9913-a8812ba3261a</x:v>
      </x:c>
      <x:c r="L306" s="36" t="str"/>
      <x:c r="M306" s="36" t="str"/>
      <x:c r="N306" s="36" t="str">
        <x:v>知识</x:v>
      </x:c>
      <x:c r="O306" s="36" t="str">
        <x:v>短期|中期</x:v>
      </x:c>
      <x:c r="P306" s="36" t="str">
        <x:v>["libreoffice_calc"]</x:v>
      </x:c>
      <x:c r="Q306" s="36" t="str">
        <x:v>[{"step_id":"S1","app":"libreoffice_calc","action_key":"fill_branch_officers_from_lookup","input_artifacts":["VLOOKUP_Fill_the_form.xlsx"],"output_artifacts":["VLOOKUP_Fill_the_form.xlsx"],"depends_on":[]},{"step_id":"S2","app":"libreoffice_calc","action_key":"assign_student_grades_from_scale","input_artifacts":["Student_Grades_and_Remarks.xlsx"],"output_artifacts":["Student_Grades_and_Remarks.xlsx"],"depends_on":[]}]</x:v>
      </x:c>
      <x:c r="R306" s="36" t="str">
        <x:v>[]</x:v>
      </x:c>
      <x:c r="S306" s="36" t="str">
        <x:v>fill_branch_officers_from_lookup|assign_student_grades_from_scale</x:v>
      </x:c>
      <x:c r="T306" s="36" t="str">
        <x:v>VLOOKUP_Fill_the_form.xlsx|Student_Grades_and_Remarks.xlsx</x:v>
      </x:c>
      <x:c r="U306" s="36" t="str">
        <x:v>retrieve_and_synthesize</x:v>
      </x:c>
      <x:c r="V306" s="36" t="str">
        <x:v>[{"point_id":"P1","description":"在 VLOOKUP_Fill_the_form.xlsx 中根据分支机构对照表，以 headoffice/branch name 为键查找对应 officer，并填入另一张表的 officer name 字段。","weight":0.45,"evidence_memory_ids":["STM_7e429b8d-a3f0-4ed0-9b58-08957d00b127"]},{"point_id":"P2","description":"在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7e429b8d-a3f0-4ed0-9b58-08957d00b127","MTM_d681960f-7bc3-4286-9913-a8812ba3261a"]}]</x:v>
      </x:c>
      <x:c r="W306" s="36" t="str">
        <x:v>1.00</x:v>
      </x:c>
      <x:c r="X306" s="39" t="str">
        <x:v>这次按文件分别处理，要求如下：第1件：在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x:v>
      </x:c>
      <x:c r="Y306"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x:v>
      </x:c>
      <x:c r="Z306" s="39" t="str">
        <x:v>不适用：当前题目不存在需要用户进一步选择的候选记忆。</x:v>
      </x:c>
      <x:c r="AA306" s="39" t="str">
        <x:v>不适用：当前题目没有指定需要排除的冲突或禁止记忆。</x:v>
      </x:c>
      <x:c r="AB306" s="39" t="str">
        <x:v>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06"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第2项实际操作：在 Student_Grades_and_Remarks.xlsx 中依据上方的评分尺度表，为下方每位学生计算并填写对应等级。执行时必须满足：严格使用现有 scale table；覆盖所有学生；不修改无关区域。</x:v>
      </x:c>
      <x:c r="AD306" s="39" t="str">
        <x:v>用户的完整请求是：“这次按文件分别处理，要求如下：第1件：在 VLOOKUP_Fill_the_form.xlsx 中根据分支机构对照表，以 headoffice/branch name 为键查找对应 officer，并填入另一张表的 officer name 字段；第2件：在 Student_Grades_and_Remarks.xlsx 中依据上方的评分尺度表，为下方每位学生计算并填写对应等级。” 第1个当前上下文：VLOOKUP_Fill_the_form.xlsx 已在 LibreOffice Calc 中打开。 第2个当前上下文：Student_Grades_and_Remarks.xlsx 已在 LibreOffice Calc 中打开。 当前请求要求在同一轮工作中得到多个结果。能够支持这些结果的完整必需记忆如下：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VLOOKUP_Fill_the_form.xlsx 中根据分支机构对照表，以 headoffice/branch name 为键查找对应 officer，并填入另一张表的 officer name 字段；2）在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06" s="39" t="str">
        <x:v>本题总分为 1.00 分，各得分点独立累计，允许语义等价表达，不要求模型输出记忆 ID，也不要求逐字复述记忆原文。
第1个得分点（0.45分）：在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06" s="50" t="str">
        <x:v>not_pass</x:v>
      </x:c>
      <x:c r="AG306" s="50" t="n">
        <x:v>0</x:v>
      </x:c>
    </x:row>
    <x:row r="307" ht="189" customHeight="1">
      <x:c r="A307" s="35" t="str">
        <x:v>V3_CM20_Q01</x:v>
      </x:c>
      <x:c r="B307" s="36" t="str">
        <x:v>SG_COMP_CM20</x:v>
      </x:c>
      <x:c r="C307" s="36" t="str">
        <x:v>CM20</x:v>
      </x:c>
      <x:c r="D307" s="36" t="str">
        <x:v>工时收入与季度总计</x:v>
      </x:c>
      <x:c r="E307" s="36" t="str">
        <x:v>complementary_multi_memory</x:v>
      </x:c>
      <x:c r="F307" s="36" t="str">
        <x:v>human_context_explicit</x:v>
      </x:c>
      <x:c r="G307" s="36" t="str">
        <x:v>challenge</x:v>
      </x:c>
      <x:c r="H307" s="36" t="str">
        <x:v>困难</x:v>
      </x:c>
      <x:c r="I307" s="36" t="str">
        <x:v>357ef137-7eeb-4c80-a3bb-0951f26a8aff|f9584479-3d0d-4c79-affa-9ad7afdd8850</x:v>
      </x:c>
      <x:c r="J307" s="36" t="str">
        <x:v>CTX_357ef137-7eeb-4c80-a3bb-0951f26a8aff|CTX_f9584479-3d0d-4c79-affa-9ad7afdd8850</x:v>
      </x:c>
      <x:c r="K307" s="36" t="str">
        <x:v>STM_357ef137-7eeb-4c80-a3bb-0951f26a8aff|MTM_f9584479-3d0d-4c79-affa-9ad7afdd8850</x:v>
      </x:c>
      <x:c r="L307" s="36" t="str"/>
      <x:c r="M307" s="36" t="str"/>
      <x:c r="N307" s="36" t="str">
        <x:v>知识</x:v>
      </x:c>
      <x:c r="O307" s="36" t="str">
        <x:v>短期|中期</x:v>
      </x:c>
      <x:c r="P307" s="36" t="str">
        <x:v>["libreoffice_calc"]</x:v>
      </x:c>
      <x:c r="Q307" s="36" t="str">
        <x:v>[{"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x:v>
      </x:c>
      <x:c r="R307" s="36" t="str">
        <x:v>[]</x:v>
      </x:c>
      <x:c r="S307" s="36" t="str">
        <x:v>calculate_earnings_from_time_and_rate|fill_missing_row_and_column_totals</x:v>
      </x:c>
      <x:c r="T307" s="36" t="str">
        <x:v>Multiply_Time_Number.xlsx|Quarterly_Product_Sales_by_Zone.xlsx</x:v>
      </x:c>
      <x:c r="U307" s="36" t="str">
        <x:v>retrieve_and_synthesize</x:v>
      </x:c>
      <x:c r="V307" s="36" t="str">
        <x:v>[{"point_id":"P1","description":"在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x:v>
      </x:c>
      <x:c r="W307" s="36" t="str">
        <x:v>1.00</x:v>
      </x:c>
      <x:c r="X307" s="39" t="str">
        <x:v>我今天要一起处理这批表。先做第1件事：在 Multiply_Time_Number.xlsx 中，先把以时间格式存储的总工时换算为小时数，再乘以小时费率，得到正确的总收入并填入目标单元格；再做第2件事：在 Quarterly_Product_Sales_by_Zone.xlsx 中计算并填补所有缺失的行总计和列总计。都按各自原来的规则完成。</x:v>
      </x:c>
      <x:c r="Y307"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x:v>
      </x:c>
      <x:c r="Z307" s="39" t="str">
        <x:v>不适用：当前题目不存在需要用户进一步选择的候选记忆。</x:v>
      </x:c>
      <x:c r="AA307" s="39" t="str">
        <x:v>不适用：当前题目没有指定需要排除的冲突或禁止记忆。</x:v>
      </x:c>
      <x:c r="AB307" s="39" t="str">
        <x:v>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C307"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x:v>
      </x:c>
      <x:c r="AD307" s="39" t="str">
        <x:v>用户的完整请求是：“我今天要一起处理这批表。先做第1件事：在 Multiply_Time_Number.xlsx 中，先把以时间格式存储的总工时换算为小时数，再乘以小时费率，得到正确的总收入并填入目标单元格；再做第2件事：在 Quarterly_Product_Sales_by_Zone.xlsx 中计算并填补所有缺失的行总计和列总计。都按各自原来的规则完成。”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E307" s="39" t="str">
        <x:v>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307" s="50" t="str">
        <x:v>not_pass</x:v>
      </x:c>
      <x:c r="AG307" s="50" t="n">
        <x:v>0</x:v>
      </x:c>
    </x:row>
    <x:row r="308" ht="189" customHeight="1">
      <x:c r="A308" s="35" t="str">
        <x:v>V3_CM20_Q02</x:v>
      </x:c>
      <x:c r="B308" s="36" t="str">
        <x:v>SG_COMP_CM20</x:v>
      </x:c>
      <x:c r="C308" s="36" t="str">
        <x:v>CM20</x:v>
      </x:c>
      <x:c r="D308" s="36" t="str">
        <x:v>工时收入与季度总计</x:v>
      </x:c>
      <x:c r="E308" s="36" t="str">
        <x:v>complementary_multi_memory</x:v>
      </x:c>
      <x:c r="F308" s="36" t="str">
        <x:v>human_goal_oriented</x:v>
      </x:c>
      <x:c r="G308" s="36" t="str">
        <x:v>challenge</x:v>
      </x:c>
      <x:c r="H308" s="36" t="str">
        <x:v>困难</x:v>
      </x:c>
      <x:c r="I308" s="36" t="str">
        <x:v>357ef137-7eeb-4c80-a3bb-0951f26a8aff|f9584479-3d0d-4c79-affa-9ad7afdd8850</x:v>
      </x:c>
      <x:c r="J308" s="36" t="str">
        <x:v>CTX_357ef137-7eeb-4c80-a3bb-0951f26a8aff|CTX_f9584479-3d0d-4c79-affa-9ad7afdd8850</x:v>
      </x:c>
      <x:c r="K308" s="36" t="str">
        <x:v>STM_357ef137-7eeb-4c80-a3bb-0951f26a8aff|MTM_f9584479-3d0d-4c79-affa-9ad7afdd8850</x:v>
      </x:c>
      <x:c r="L308" s="36" t="str"/>
      <x:c r="M308" s="36" t="str"/>
      <x:c r="N308" s="36" t="str">
        <x:v>知识</x:v>
      </x:c>
      <x:c r="O308" s="36" t="str">
        <x:v>短期|中期</x:v>
      </x:c>
      <x:c r="P308" s="36" t="str">
        <x:v>["libreoffice_calc"]</x:v>
      </x:c>
      <x:c r="Q308" s="36" t="str">
        <x:v>[{"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x:v>
      </x:c>
      <x:c r="R308" s="36" t="str">
        <x:v>[]</x:v>
      </x:c>
      <x:c r="S308" s="36" t="str">
        <x:v>calculate_earnings_from_time_and_rate|fill_missing_row_and_column_totals</x:v>
      </x:c>
      <x:c r="T308" s="36" t="str">
        <x:v>Multiply_Time_Number.xlsx|Quarterly_Product_Sales_by_Zone.xlsx</x:v>
      </x:c>
      <x:c r="U308" s="36" t="str">
        <x:v>retrieve_and_synthesize</x:v>
      </x:c>
      <x:c r="V308" s="36" t="str">
        <x:v>[{"point_id":"P1","description":"在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x:v>
      </x:c>
      <x:c r="W308" s="36" t="str">
        <x:v>1.00</x:v>
      </x:c>
      <x:c r="X308" s="39" t="str">
        <x:v>这批文件马上要交付，帮我把几项工作一起收尾：第1件：在 Multiply_Time_Number.xlsx 中，先把以时间格式存储的总工时换算为小时数，再乘以小时费率，得到正确的总收入并填入目标单元格；第2件：在 Quarterly_Product_Sales_by_Zone.xlsx 中计算并填补所有缺失的行总计和列总计。</x:v>
      </x:c>
      <x:c r="Y308"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x:v>
      </x:c>
      <x:c r="Z308" s="39" t="str">
        <x:v>不适用：当前题目不存在需要用户进一步选择的候选记忆。</x:v>
      </x:c>
      <x:c r="AA308" s="39" t="str">
        <x:v>不适用：当前题目没有指定需要排除的冲突或禁止记忆。</x:v>
      </x:c>
      <x:c r="AB308" s="39" t="str">
        <x:v>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C308"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x:v>
      </x:c>
      <x:c r="AD308" s="39" t="str">
        <x:v>用户的完整请求是：“这批文件马上要交付，帮我把几项工作一起收尾：第1件：在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E308" s="39" t="str">
        <x:v>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308" s="50" t="str">
        <x:v>not_pass</x:v>
      </x:c>
      <x:c r="AG308" s="50" t="n">
        <x:v>0</x:v>
      </x:c>
    </x:row>
    <x:row r="309" ht="189" customHeight="1">
      <x:c r="A309" s="35" t="str">
        <x:v>V3_CM20_Q03</x:v>
      </x:c>
      <x:c r="B309" s="36" t="str">
        <x:v>SG_COMP_CM20</x:v>
      </x:c>
      <x:c r="C309" s="36" t="str">
        <x:v>CM20</x:v>
      </x:c>
      <x:c r="D309" s="36" t="str">
        <x:v>工时收入与季度总计</x:v>
      </x:c>
      <x:c r="E309" s="36" t="str">
        <x:v>complementary_multi_memory</x:v>
      </x:c>
      <x:c r="F309" s="36" t="str">
        <x:v>contextual_ellipsis</x:v>
      </x:c>
      <x:c r="G309" s="36" t="str">
        <x:v>challenge</x:v>
      </x:c>
      <x:c r="H309" s="36" t="str">
        <x:v>困难</x:v>
      </x:c>
      <x:c r="I309" s="36" t="str">
        <x:v>357ef137-7eeb-4c80-a3bb-0951f26a8aff|f9584479-3d0d-4c79-affa-9ad7afdd8850</x:v>
      </x:c>
      <x:c r="J309" s="36" t="str">
        <x:v>CTX_357ef137-7eeb-4c80-a3bb-0951f26a8aff|CTX_f9584479-3d0d-4c79-affa-9ad7afdd8850</x:v>
      </x:c>
      <x:c r="K309" s="36" t="str">
        <x:v>STM_357ef137-7eeb-4c80-a3bb-0951f26a8aff|MTM_f9584479-3d0d-4c79-affa-9ad7afdd8850</x:v>
      </x:c>
      <x:c r="L309" s="36" t="str"/>
      <x:c r="M309" s="36" t="str"/>
      <x:c r="N309" s="36" t="str">
        <x:v>知识</x:v>
      </x:c>
      <x:c r="O309" s="36" t="str">
        <x:v>短期|中期</x:v>
      </x:c>
      <x:c r="P309" s="36" t="str">
        <x:v>["libreoffice_calc"]</x:v>
      </x:c>
      <x:c r="Q309" s="36" t="str">
        <x:v>[{"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x:v>
      </x:c>
      <x:c r="R309" s="36" t="str">
        <x:v>[]</x:v>
      </x:c>
      <x:c r="S309" s="36" t="str">
        <x:v>calculate_earnings_from_time_and_rate|fill_missing_row_and_column_totals</x:v>
      </x:c>
      <x:c r="T309" s="36" t="str">
        <x:v>Multiply_Time_Number.xlsx|Quarterly_Product_Sales_by_Zone.xlsx</x:v>
      </x:c>
      <x:c r="U309" s="36" t="str">
        <x:v>retrieve_and_synthesize</x:v>
      </x:c>
      <x:c r="V309" s="36" t="str">
        <x:v>[{"point_id":"P1","description":"在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x:v>
      </x:c>
      <x:c r="W309" s="36" t="str">
        <x:v>1.00</x:v>
      </x:c>
      <x:c r="X309" s="39" t="str">
        <x:v>相关工作表我都打开了，接着分别处理：第1件：在 Multiply_Time_Number.xlsx 中，先把以时间格式存储的总工时换算为小时数，再乘以小时费率，得到正确的总收入并填入目标单元格；第2件：在 Quarterly_Product_Sales_by_Zone.xlsx 中计算并填补所有缺失的行总计和列总计。</x:v>
      </x:c>
      <x:c r="Y309"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x:v>
      </x:c>
      <x:c r="Z309" s="39" t="str">
        <x:v>不适用：当前题目不存在需要用户进一步选择的候选记忆。</x:v>
      </x:c>
      <x:c r="AA309" s="39" t="str">
        <x:v>不适用：当前题目没有指定需要排除的冲突或禁止记忆。</x:v>
      </x:c>
      <x:c r="AB309" s="39" t="str">
        <x:v>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C309"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x:v>
      </x:c>
      <x:c r="AD309" s="39" t="str">
        <x:v>用户的完整请求是：“相关工作表我都打开了，接着分别处理：第1件：在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E309" s="39" t="str">
        <x:v>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309" s="50" t="str">
        <x:v>not_pass</x:v>
      </x:c>
      <x:c r="AG309" s="50" t="n">
        <x:v>0</x:v>
      </x:c>
    </x:row>
    <x:row r="310" ht="189" customHeight="1">
      <x:c r="A310" s="35" t="str">
        <x:v>V3_CM20_Q04</x:v>
      </x:c>
      <x:c r="B310" s="36" t="str">
        <x:v>SG_COMP_CM20</x:v>
      </x:c>
      <x:c r="C310" s="36" t="str">
        <x:v>CM20</x:v>
      </x:c>
      <x:c r="D310" s="36" t="str">
        <x:v>工时收入与季度总计</x:v>
      </x:c>
      <x:c r="E310" s="36" t="str">
        <x:v>complementary_multi_memory</x:v>
      </x:c>
      <x:c r="F310" s="36" t="str">
        <x:v>low_overlap_paraphrase</x:v>
      </x:c>
      <x:c r="G310" s="36" t="str">
        <x:v>challenge</x:v>
      </x:c>
      <x:c r="H310" s="36" t="str">
        <x:v>困难</x:v>
      </x:c>
      <x:c r="I310" s="36" t="str">
        <x:v>357ef137-7eeb-4c80-a3bb-0951f26a8aff|f9584479-3d0d-4c79-affa-9ad7afdd8850</x:v>
      </x:c>
      <x:c r="J310" s="36" t="str">
        <x:v>CTX_357ef137-7eeb-4c80-a3bb-0951f26a8aff|CTX_f9584479-3d0d-4c79-affa-9ad7afdd8850</x:v>
      </x:c>
      <x:c r="K310" s="36" t="str">
        <x:v>STM_357ef137-7eeb-4c80-a3bb-0951f26a8aff|MTM_f9584479-3d0d-4c79-affa-9ad7afdd8850</x:v>
      </x:c>
      <x:c r="L310" s="36" t="str"/>
      <x:c r="M310" s="36" t="str"/>
      <x:c r="N310" s="36" t="str">
        <x:v>知识</x:v>
      </x:c>
      <x:c r="O310" s="36" t="str">
        <x:v>短期|中期</x:v>
      </x:c>
      <x:c r="P310" s="36" t="str">
        <x:v>["libreoffice_calc"]</x:v>
      </x:c>
      <x:c r="Q310" s="36" t="str">
        <x:v>[{"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x:v>
      </x:c>
      <x:c r="R310" s="36" t="str">
        <x:v>[]</x:v>
      </x:c>
      <x:c r="S310" s="36" t="str">
        <x:v>calculate_earnings_from_time_and_rate|fill_missing_row_and_column_totals</x:v>
      </x:c>
      <x:c r="T310" s="36" t="str">
        <x:v>Multiply_Time_Number.xlsx|Quarterly_Product_Sales_by_Zone.xlsx</x:v>
      </x:c>
      <x:c r="U310" s="36" t="str">
        <x:v>retrieve_and_synthesize</x:v>
      </x:c>
      <x:c r="V310" s="36" t="str">
        <x:v>[{"point_id":"P1","description":"在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x:v>
      </x:c>
      <x:c r="W310" s="36" t="str">
        <x:v>1.00</x:v>
      </x:c>
      <x:c r="X310" s="39" t="str">
        <x:v>我想一次把这批工作做完：第1件：在 Multiply_Time_Number.xlsx 中，先把以时间格式存储的总工时换算为小时数，再乘以小时费率，得到正确的总收入并填入目标单元格；第2件：在 Quarterly_Product_Sales_by_Zone.xlsx 中计算并填补所有缺失的行总计和列总计。不同文件的规则别串在一起。</x:v>
      </x:c>
      <x:c r="Y310"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x:v>
      </x:c>
      <x:c r="Z310" s="39" t="str">
        <x:v>不适用：当前题目不存在需要用户进一步选择的候选记忆。</x:v>
      </x:c>
      <x:c r="AA310" s="39" t="str">
        <x:v>不适用：当前题目没有指定需要排除的冲突或禁止记忆。</x:v>
      </x:c>
      <x:c r="AB310" s="39" t="str">
        <x:v>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C310"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x:v>
      </x:c>
      <x:c r="AD310" s="39" t="str">
        <x:v>用户的完整请求是：“我想一次把这批工作做完：第1件：在 Multiply_Time_Number.xlsx 中，先把以时间格式存储的总工时换算为小时数，再乘以小时费率，得到正确的总收入并填入目标单元格；第2件：在 Quarterly_Product_Sales_by_Zone.xlsx 中计算并填补所有缺失的行总计和列总计。不同文件的规则别串在一起。”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E310" s="39" t="str">
        <x:v>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310" s="50" t="str">
        <x:v>not_pass</x:v>
      </x:c>
      <x:c r="AG310" s="50" t="n">
        <x:v>0</x:v>
      </x:c>
    </x:row>
    <x:row r="311" ht="189" customHeight="1">
      <x:c r="A311" s="35" t="str">
        <x:v>V3_CM20_Q05</x:v>
      </x:c>
      <x:c r="B311" s="36" t="str">
        <x:v>SG_COMP_CM20</x:v>
      </x:c>
      <x:c r="C311" s="36" t="str">
        <x:v>CM20</x:v>
      </x:c>
      <x:c r="D311" s="36" t="str">
        <x:v>工时收入与季度总计</x:v>
      </x:c>
      <x:c r="E311" s="36" t="str">
        <x:v>complementary_multi_memory</x:v>
      </x:c>
      <x:c r="F311" s="36" t="str">
        <x:v>human_constraint_emphasis</x:v>
      </x:c>
      <x:c r="G311" s="36" t="str">
        <x:v>challenge</x:v>
      </x:c>
      <x:c r="H311" s="36" t="str">
        <x:v>困难</x:v>
      </x:c>
      <x:c r="I311" s="36" t="str">
        <x:v>357ef137-7eeb-4c80-a3bb-0951f26a8aff|f9584479-3d0d-4c79-affa-9ad7afdd8850</x:v>
      </x:c>
      <x:c r="J311" s="36" t="str">
        <x:v>CTX_357ef137-7eeb-4c80-a3bb-0951f26a8aff|CTX_f9584479-3d0d-4c79-affa-9ad7afdd8850</x:v>
      </x:c>
      <x:c r="K311" s="36" t="str">
        <x:v>STM_357ef137-7eeb-4c80-a3bb-0951f26a8aff|MTM_f9584479-3d0d-4c79-affa-9ad7afdd8850</x:v>
      </x:c>
      <x:c r="L311" s="36" t="str"/>
      <x:c r="M311" s="36" t="str"/>
      <x:c r="N311" s="36" t="str">
        <x:v>知识</x:v>
      </x:c>
      <x:c r="O311" s="36" t="str">
        <x:v>短期|中期</x:v>
      </x:c>
      <x:c r="P311" s="36" t="str">
        <x:v>["libreoffice_calc"]</x:v>
      </x:c>
      <x:c r="Q311" s="36" t="str">
        <x:v>[{"step_id":"S1","app":"libreoffice_calc","action_key":"calculate_earnings_from_time_and_rate","input_artifacts":["Multiply_Time_Number.xlsx"],"output_artifacts":["Multiply_Time_Number.xlsx"],"depends_on":[]},{"step_id":"S2","app":"libreoffice_calc","action_key":"fill_missing_row_and_column_totals","input_artifacts":["Quarterly_Product_Sales_by_Zone.xlsx"],"output_artifacts":["Quarterly_Product_Sales_by_Zone.xlsx"],"depends_on":[]}]</x:v>
      </x:c>
      <x:c r="R311" s="36" t="str">
        <x:v>[]</x:v>
      </x:c>
      <x:c r="S311" s="36" t="str">
        <x:v>calculate_earnings_from_time_and_rate|fill_missing_row_and_column_totals</x:v>
      </x:c>
      <x:c r="T311" s="36" t="str">
        <x:v>Multiply_Time_Number.xlsx|Quarterly_Product_Sales_by_Zone.xlsx</x:v>
      </x:c>
      <x:c r="U311" s="36" t="str">
        <x:v>retrieve_and_synthesize</x:v>
      </x:c>
      <x:c r="V311" s="36" t="str">
        <x:v>[{"point_id":"P1","description":"在 Multiply_Time_Number.xlsx 中，先把以时间格式存储的总工时换算为小时数，再乘以小时费率，得到正确的总收入并填入目标单元格。","weight":0.45,"evidence_memory_ids":["STM_357ef137-7eeb-4c80-a3bb-0951f26a8aff"]},{"point_id":"P2","description":"在 Quarterly_Product_Sales_by_Zone.xlsx 中计算并填补所有缺失的行总计和列总计。","weight":0.45,"evidence_memory_ids":["MTM_f9584479-3d0d-4c79-affa-9ad7afdd8850"]},{"point_id":"P3","description":"各文件和各步骤的规则不串用，不增加无来源操作","weight":0.1,"evidence_memory_ids":["STM_357ef137-7eeb-4c80-a3bb-0951f26a8aff","MTM_f9584479-3d0d-4c79-affa-9ad7afdd8850"]}]</x:v>
      </x:c>
      <x:c r="W311" s="36" t="str">
        <x:v>1.00</x:v>
      </x:c>
      <x:c r="X311" s="39" t="str">
        <x:v>这次按文件分别处理，要求如下：第1件：在 Multiply_Time_Number.xlsx 中，先把以时间格式存储的总工时换算为小时数，再乘以小时费率，得到正确的总收入并填入目标单元格；第2件：在 Quarterly_Product_Sales_by_Zone.xlsx 中计算并填补所有缺失的行总计和列总计。</x:v>
      </x:c>
      <x:c r="Y311" s="39" t="str">
        <x:v>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x:v>
      </x:c>
      <x:c r="Z311" s="39" t="str">
        <x:v>不适用：当前题目不存在需要用户进一步选择的候选记忆。</x:v>
      </x:c>
      <x:c r="AA311" s="39" t="str">
        <x:v>不适用：当前题目没有指定需要排除的冲突或禁止记忆。</x:v>
      </x:c>
      <x:c r="AB311" s="39" t="str">
        <x:v>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C311" s="39" t="str">
        <x:v>第1项实际操作：在 Multiply_Time_Number.xlsx 中，先把以时间格式存储的总工时换算为小时数，再乘以小时费率，得到正确的总收入并填入目标单元格。执行时必须满足：不能直接把时间序列值当普通数值相乘；只填写目标结果；不修改无关空白区域。 第2项实际操作：在 Quarterly_Product_Sales_by_Zone.xlsx 中计算并填补所有缺失的行总计和列总计。执行时必须满足：同时检查行总计与列总计；只填缺失的总计单元格；保持原始明细不变。</x:v>
      </x:c>
      <x:c r="AD311" s="39" t="str">
        <x:v>用户的完整请求是：“这次按文件分别处理，要求如下：第1件：在 Multiply_Time_Number.xlsx 中，先把以时间格式存储的总工时换算为小时数，再乘以小时费率，得到正确的总收入并填入目标单元格；第2件：在 Quarterly_Product_Sales_by_Zone.xlsx 中计算并填补所有缺失的行总计和列总计。” 第1个当前上下文：Multiply_Time_Number.xlsx 已在 LibreOffice Calc 中打开。 第2个当前上下文：Quarterly_Product_Sales_by_Zone.xlsx 已在 LibreOffice Calc 中打开。 当前请求要求在同一轮工作中得到多个结果。能够支持这些结果的完整必需记忆如下：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Multiply_Time_Number.xlsx 中，先把以时间格式存储的总工时换算为小时数，再乘以小时费率，得到正确的总收入并填入目标单元格；2）在 Quarterly_Product_Sales_by_Zone.xlsx 中计算并填补所有缺失的行总计和列总计。每项操作必须分别遵守其对应文件、工作表、范围、格式和输出约束，不能用其中一项替代另一项，也不能把不同文件的规则混用。”</x:v>
      </x:c>
      <x:c r="AE311" s="39" t="str">
        <x:v>本题总分为 1.00 分，各得分点独立累计，允许语义等价表达，不要求模型输出记忆 ID，也不要求逐字复述记忆原文。
第1个得分点（0.45分）：在 Multiply_Time_Number.xlsx 中，先把以时间格式存储的总工时换算为小时数，再乘以小时费率，得到正确的总收入并填入目标单元格。该得分点所依据的完整证据为：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第2个得分点（0.45分）：在 Quarterly_Product_Sales_by_Zone.xlsx 中计算并填补所有缺失的行总计和列总计。该得分点所依据的完整证据为：
第1条记忆（中期/知识）：在 Quarterly_Product_Sales_by_Zone.xlsx 中计算并填补所有缺失的行总计和列总计。关键约束：同时检查行总计与列总计；只填缺失的总计单元格；保持原始明细不变。
第3个得分点（0.10分）：各文件和各步骤的规则不串用，不增加无来源操作。该得分点所依据的完整证据为：
第1条记忆（短期/知识）：在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311" s="50" t="str">
        <x:v>not_pass</x:v>
      </x:c>
      <x:c r="AG311" s="50" t="n">
        <x:v>0</x:v>
      </x:c>
    </x:row>
    <x:row r="312" ht="189" customHeight="1">
      <x:c r="A312" s="35" t="str">
        <x:v>V3_CM21_Q01</x:v>
      </x:c>
      <x:c r="B312" s="36" t="str">
        <x:v>SG_COMP_CM21</x:v>
      </x:c>
      <x:c r="C312" s="36" t="str">
        <x:v>CM21</x:v>
      </x:c>
      <x:c r="D312" s="36" t="str">
        <x:v>贷款到期日与员工年龄</x:v>
      </x:c>
      <x:c r="E312" s="36" t="str">
        <x:v>complementary_multi_memory</x:v>
      </x:c>
      <x:c r="F312" s="36" t="str">
        <x:v>human_context_explicit</x:v>
      </x:c>
      <x:c r="G312" s="36" t="str">
        <x:v>challenge</x:v>
      </x:c>
      <x:c r="H312" s="36" t="str">
        <x:v>困难</x:v>
      </x:c>
      <x:c r="I312" s="36" t="str">
        <x:v>4172ea6e-6b77-4edb-a9cc-c0014bd1603b|4e6fcf72-daf3-439f-a232-c434ce416af6</x:v>
      </x:c>
      <x:c r="J312" s="36" t="str">
        <x:v>CTX_4172ea6e-6b77-4edb-a9cc-c0014bd1603b|CTX_4e6fcf72-daf3-439f-a232-c434ce416af6</x:v>
      </x:c>
      <x:c r="K312" s="36" t="str">
        <x:v>STM_4172ea6e-6b77-4edb-a9cc-c0014bd1603b|MTM_4e6fcf72-daf3-439f-a232-c434ce416af6</x:v>
      </x:c>
      <x:c r="L312" s="36" t="str"/>
      <x:c r="M312" s="36" t="str"/>
      <x:c r="N312" s="36" t="str">
        <x:v>知识</x:v>
      </x:c>
      <x:c r="O312" s="36" t="str">
        <x:v>短期|中期</x:v>
      </x:c>
      <x:c r="P312" s="36" t="str">
        <x:v>["libreoffice_calc"]</x:v>
      </x:c>
      <x:c r="Q312" s="36" t="str">
        <x:v>[{"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x:v>
      </x:c>
      <x:c r="R312" s="36" t="str">
        <x:v>[]</x:v>
      </x:c>
      <x:c r="S312" s="36" t="str">
        <x:v>calculate_loan_maturity_dates|calculate_employee_ages</x:v>
      </x:c>
      <x:c r="T312" s="36" t="str">
        <x:v>MaturityDate.xlsx|Employee_Age_By_Birthday.xlsx</x:v>
      </x:c>
      <x:c r="U312" s="36" t="str">
        <x:v>retrieve_and_synthesize</x:v>
      </x:c>
      <x:c r="V312" s="36" t="str">
        <x:v>[{"point_id":"P1","description":"在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x:v>
      </x:c>
      <x:c r="W312" s="36" t="str">
        <x:v>1.00</x:v>
      </x:c>
      <x:c r="X312" s="39" t="str">
        <x:v>我今天要一起处理这批表。先做第1件事：在 MaturityDate.xlsx 新增 Maturity Date 列，根据每笔贷款已有的日期和期限信息计算全部贷款的到期日；再做第2件事：在 Employee_Age_By_Birthday.xlsx 中根据每位员工的生日计算对应年龄并填入目标区域。都按各自原来的规则完成。</x:v>
      </x:c>
      <x:c r="Y312"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x:v>
      </x:c>
      <x:c r="Z312" s="39" t="str">
        <x:v>不适用：当前题目不存在需要用户进一步选择的候选记忆。</x:v>
      </x:c>
      <x:c r="AA312" s="39" t="str">
        <x:v>不适用：当前题目没有指定需要排除的冲突或禁止记忆。</x:v>
      </x:c>
      <x:c r="AB312" s="39" t="str">
        <x:v>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C312" s="39" t="str">
        <x:v>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x:v>
      </x:c>
      <x:c r="AD312" s="39" t="str">
        <x:v>用户的完整请求是：“我今天要一起处理这批表。先做第1件事：在 MaturityDate.xlsx 新增 Maturity Date 列，根据每笔贷款已有的日期和期限信息计算全部贷款的到期日；再做第2件事：在 Employee_Age_By_Birthday.xlsx 中根据每位员工的生日计算对应年龄并填入目标区域。都按各自原来的规则完成。”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E312" s="39" t="str">
        <x:v>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312" s="50" t="str">
        <x:v>not_pass</x:v>
      </x:c>
      <x:c r="AG312" s="50" t="n">
        <x:v>0</x:v>
      </x:c>
    </x:row>
    <x:row r="313" ht="189" customHeight="1">
      <x:c r="A313" s="35" t="str">
        <x:v>V3_CM21_Q02</x:v>
      </x:c>
      <x:c r="B313" s="36" t="str">
        <x:v>SG_COMP_CM21</x:v>
      </x:c>
      <x:c r="C313" s="36" t="str">
        <x:v>CM21</x:v>
      </x:c>
      <x:c r="D313" s="36" t="str">
        <x:v>贷款到期日与员工年龄</x:v>
      </x:c>
      <x:c r="E313" s="36" t="str">
        <x:v>complementary_multi_memory</x:v>
      </x:c>
      <x:c r="F313" s="36" t="str">
        <x:v>human_goal_oriented</x:v>
      </x:c>
      <x:c r="G313" s="36" t="str">
        <x:v>challenge</x:v>
      </x:c>
      <x:c r="H313" s="36" t="str">
        <x:v>困难</x:v>
      </x:c>
      <x:c r="I313" s="36" t="str">
        <x:v>4172ea6e-6b77-4edb-a9cc-c0014bd1603b|4e6fcf72-daf3-439f-a232-c434ce416af6</x:v>
      </x:c>
      <x:c r="J313" s="36" t="str">
        <x:v>CTX_4172ea6e-6b77-4edb-a9cc-c0014bd1603b|CTX_4e6fcf72-daf3-439f-a232-c434ce416af6</x:v>
      </x:c>
      <x:c r="K313" s="36" t="str">
        <x:v>STM_4172ea6e-6b77-4edb-a9cc-c0014bd1603b|MTM_4e6fcf72-daf3-439f-a232-c434ce416af6</x:v>
      </x:c>
      <x:c r="L313" s="36" t="str"/>
      <x:c r="M313" s="36" t="str"/>
      <x:c r="N313" s="36" t="str">
        <x:v>知识</x:v>
      </x:c>
      <x:c r="O313" s="36" t="str">
        <x:v>短期|中期</x:v>
      </x:c>
      <x:c r="P313" s="36" t="str">
        <x:v>["libreoffice_calc"]</x:v>
      </x:c>
      <x:c r="Q313" s="36" t="str">
        <x:v>[{"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x:v>
      </x:c>
      <x:c r="R313" s="36" t="str">
        <x:v>[]</x:v>
      </x:c>
      <x:c r="S313" s="36" t="str">
        <x:v>calculate_loan_maturity_dates|calculate_employee_ages</x:v>
      </x:c>
      <x:c r="T313" s="36" t="str">
        <x:v>MaturityDate.xlsx|Employee_Age_By_Birthday.xlsx</x:v>
      </x:c>
      <x:c r="U313" s="36" t="str">
        <x:v>retrieve_and_synthesize</x:v>
      </x:c>
      <x:c r="V313" s="36" t="str">
        <x:v>[{"point_id":"P1","description":"在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x:v>
      </x:c>
      <x:c r="W313" s="36" t="str">
        <x:v>1.00</x:v>
      </x:c>
      <x:c r="X313" s="39" t="str">
        <x:v>这批文件马上要交付，帮我把几项工作一起收尾：第1件：在 MaturityDate.xlsx 新增 Maturity Date 列，根据每笔贷款已有的日期和期限信息计算全部贷款的到期日；第2件：在 Employee_Age_By_Birthday.xlsx 中根据每位员工的生日计算对应年龄并填入目标区域。</x:v>
      </x:c>
      <x:c r="Y313"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x:v>
      </x:c>
      <x:c r="Z313" s="39" t="str">
        <x:v>不适用：当前题目不存在需要用户进一步选择的候选记忆。</x:v>
      </x:c>
      <x:c r="AA313" s="39" t="str">
        <x:v>不适用：当前题目没有指定需要排除的冲突或禁止记忆。</x:v>
      </x:c>
      <x:c r="AB313" s="39" t="str">
        <x:v>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C313" s="39" t="str">
        <x:v>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x:v>
      </x:c>
      <x:c r="AD313" s="39" t="str">
        <x:v>用户的完整请求是：“这批文件马上要交付，帮我把几项工作一起收尾：第1件：在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E313" s="39" t="str">
        <x:v>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313" s="50" t="str">
        <x:v>not_pass</x:v>
      </x:c>
      <x:c r="AG313" s="50" t="n">
        <x:v>0</x:v>
      </x:c>
    </x:row>
    <x:row r="314" ht="189" customHeight="1">
      <x:c r="A314" s="35" t="str">
        <x:v>V3_CM21_Q03</x:v>
      </x:c>
      <x:c r="B314" s="36" t="str">
        <x:v>SG_COMP_CM21</x:v>
      </x:c>
      <x:c r="C314" s="36" t="str">
        <x:v>CM21</x:v>
      </x:c>
      <x:c r="D314" s="36" t="str">
        <x:v>贷款到期日与员工年龄</x:v>
      </x:c>
      <x:c r="E314" s="36" t="str">
        <x:v>complementary_multi_memory</x:v>
      </x:c>
      <x:c r="F314" s="36" t="str">
        <x:v>contextual_ellipsis</x:v>
      </x:c>
      <x:c r="G314" s="36" t="str">
        <x:v>challenge</x:v>
      </x:c>
      <x:c r="H314" s="36" t="str">
        <x:v>困难</x:v>
      </x:c>
      <x:c r="I314" s="36" t="str">
        <x:v>4172ea6e-6b77-4edb-a9cc-c0014bd1603b|4e6fcf72-daf3-439f-a232-c434ce416af6</x:v>
      </x:c>
      <x:c r="J314" s="36" t="str">
        <x:v>CTX_4172ea6e-6b77-4edb-a9cc-c0014bd1603b|CTX_4e6fcf72-daf3-439f-a232-c434ce416af6</x:v>
      </x:c>
      <x:c r="K314" s="36" t="str">
        <x:v>STM_4172ea6e-6b77-4edb-a9cc-c0014bd1603b|MTM_4e6fcf72-daf3-439f-a232-c434ce416af6</x:v>
      </x:c>
      <x:c r="L314" s="36" t="str"/>
      <x:c r="M314" s="36" t="str"/>
      <x:c r="N314" s="36" t="str">
        <x:v>知识</x:v>
      </x:c>
      <x:c r="O314" s="36" t="str">
        <x:v>短期|中期</x:v>
      </x:c>
      <x:c r="P314" s="36" t="str">
        <x:v>["libreoffice_calc"]</x:v>
      </x:c>
      <x:c r="Q314" s="36" t="str">
        <x:v>[{"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x:v>
      </x:c>
      <x:c r="R314" s="36" t="str">
        <x:v>[]</x:v>
      </x:c>
      <x:c r="S314" s="36" t="str">
        <x:v>calculate_loan_maturity_dates|calculate_employee_ages</x:v>
      </x:c>
      <x:c r="T314" s="36" t="str">
        <x:v>MaturityDate.xlsx|Employee_Age_By_Birthday.xlsx</x:v>
      </x:c>
      <x:c r="U314" s="36" t="str">
        <x:v>retrieve_and_synthesize</x:v>
      </x:c>
      <x:c r="V314" s="36" t="str">
        <x:v>[{"point_id":"P1","description":"在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x:v>
      </x:c>
      <x:c r="W314" s="36" t="str">
        <x:v>1.00</x:v>
      </x:c>
      <x:c r="X314" s="39" t="str">
        <x:v>相关工作表我都打开了，接着分别处理：第1件：在 MaturityDate.xlsx 新增 Maturity Date 列，根据每笔贷款已有的日期和期限信息计算全部贷款的到期日；第2件：在 Employee_Age_By_Birthday.xlsx 中根据每位员工的生日计算对应年龄并填入目标区域。</x:v>
      </x:c>
      <x:c r="Y314"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x:v>
      </x:c>
      <x:c r="Z314" s="39" t="str">
        <x:v>不适用：当前题目不存在需要用户进一步选择的候选记忆。</x:v>
      </x:c>
      <x:c r="AA314" s="39" t="str">
        <x:v>不适用：当前题目没有指定需要排除的冲突或禁止记忆。</x:v>
      </x:c>
      <x:c r="AB314" s="39" t="str">
        <x:v>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C314" s="39" t="str">
        <x:v>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x:v>
      </x:c>
      <x:c r="AD314" s="39" t="str">
        <x:v>用户的完整请求是：“相关工作表我都打开了，接着分别处理：第1件：在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E314" s="39" t="str">
        <x:v>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314" s="50" t="str">
        <x:v>not_pass</x:v>
      </x:c>
      <x:c r="AG314" s="50" t="n">
        <x:v>0</x:v>
      </x:c>
    </x:row>
    <x:row r="315" ht="189" customHeight="1">
      <x:c r="A315" s="35" t="str">
        <x:v>V3_CM21_Q04</x:v>
      </x:c>
      <x:c r="B315" s="36" t="str">
        <x:v>SG_COMP_CM21</x:v>
      </x:c>
      <x:c r="C315" s="36" t="str">
        <x:v>CM21</x:v>
      </x:c>
      <x:c r="D315" s="36" t="str">
        <x:v>贷款到期日与员工年龄</x:v>
      </x:c>
      <x:c r="E315" s="36" t="str">
        <x:v>complementary_multi_memory</x:v>
      </x:c>
      <x:c r="F315" s="36" t="str">
        <x:v>low_overlap_paraphrase</x:v>
      </x:c>
      <x:c r="G315" s="36" t="str">
        <x:v>challenge</x:v>
      </x:c>
      <x:c r="H315" s="36" t="str">
        <x:v>困难</x:v>
      </x:c>
      <x:c r="I315" s="36" t="str">
        <x:v>4172ea6e-6b77-4edb-a9cc-c0014bd1603b|4e6fcf72-daf3-439f-a232-c434ce416af6</x:v>
      </x:c>
      <x:c r="J315" s="36" t="str">
        <x:v>CTX_4172ea6e-6b77-4edb-a9cc-c0014bd1603b|CTX_4e6fcf72-daf3-439f-a232-c434ce416af6</x:v>
      </x:c>
      <x:c r="K315" s="36" t="str">
        <x:v>STM_4172ea6e-6b77-4edb-a9cc-c0014bd1603b|MTM_4e6fcf72-daf3-439f-a232-c434ce416af6</x:v>
      </x:c>
      <x:c r="L315" s="36" t="str"/>
      <x:c r="M315" s="36" t="str"/>
      <x:c r="N315" s="36" t="str">
        <x:v>知识</x:v>
      </x:c>
      <x:c r="O315" s="36" t="str">
        <x:v>短期|中期</x:v>
      </x:c>
      <x:c r="P315" s="36" t="str">
        <x:v>["libreoffice_calc"]</x:v>
      </x:c>
      <x:c r="Q315" s="36" t="str">
        <x:v>[{"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x:v>
      </x:c>
      <x:c r="R315" s="36" t="str">
        <x:v>[]</x:v>
      </x:c>
      <x:c r="S315" s="36" t="str">
        <x:v>calculate_loan_maturity_dates|calculate_employee_ages</x:v>
      </x:c>
      <x:c r="T315" s="36" t="str">
        <x:v>MaturityDate.xlsx|Employee_Age_By_Birthday.xlsx</x:v>
      </x:c>
      <x:c r="U315" s="36" t="str">
        <x:v>retrieve_and_synthesize</x:v>
      </x:c>
      <x:c r="V315" s="36" t="str">
        <x:v>[{"point_id":"P1","description":"在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x:v>
      </x:c>
      <x:c r="W315" s="36" t="str">
        <x:v>1.00</x:v>
      </x:c>
      <x:c r="X315" s="39" t="str">
        <x:v>我想一次把这批工作做完：第1件：在 MaturityDate.xlsx 新增 Maturity Date 列，根据每笔贷款已有的日期和期限信息计算全部贷款的到期日；第2件：在 Employee_Age_By_Birthday.xlsx 中根据每位员工的生日计算对应年龄并填入目标区域。不同文件的规则别串在一起。</x:v>
      </x:c>
      <x:c r="Y315"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x:v>
      </x:c>
      <x:c r="Z315" s="39" t="str">
        <x:v>不适用：当前题目不存在需要用户进一步选择的候选记忆。</x:v>
      </x:c>
      <x:c r="AA315" s="39" t="str">
        <x:v>不适用：当前题目没有指定需要排除的冲突或禁止记忆。</x:v>
      </x:c>
      <x:c r="AB315" s="39" t="str">
        <x:v>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C315" s="39" t="str">
        <x:v>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x:v>
      </x:c>
      <x:c r="AD315" s="39" t="str">
        <x:v>用户的完整请求是：“我想一次把这批工作做完：第1件：在 MaturityDate.xlsx 新增 Maturity Date 列，根据每笔贷款已有的日期和期限信息计算全部贷款的到期日；第2件：在 Employee_Age_By_Birthday.xlsx 中根据每位员工的生日计算对应年龄并填入目标区域。不同文件的规则别串在一起。”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E315" s="39" t="str">
        <x:v>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315" s="50" t="str">
        <x:v>not_pass</x:v>
      </x:c>
      <x:c r="AG315" s="50" t="n">
        <x:v>0</x:v>
      </x:c>
    </x:row>
    <x:row r="316" ht="189" customHeight="1">
      <x:c r="A316" s="35" t="str">
        <x:v>V3_CM21_Q05</x:v>
      </x:c>
      <x:c r="B316" s="36" t="str">
        <x:v>SG_COMP_CM21</x:v>
      </x:c>
      <x:c r="C316" s="36" t="str">
        <x:v>CM21</x:v>
      </x:c>
      <x:c r="D316" s="36" t="str">
        <x:v>贷款到期日与员工年龄</x:v>
      </x:c>
      <x:c r="E316" s="36" t="str">
        <x:v>complementary_multi_memory</x:v>
      </x:c>
      <x:c r="F316" s="36" t="str">
        <x:v>human_constraint_emphasis</x:v>
      </x:c>
      <x:c r="G316" s="36" t="str">
        <x:v>challenge</x:v>
      </x:c>
      <x:c r="H316" s="36" t="str">
        <x:v>困难</x:v>
      </x:c>
      <x:c r="I316" s="36" t="str">
        <x:v>4172ea6e-6b77-4edb-a9cc-c0014bd1603b|4e6fcf72-daf3-439f-a232-c434ce416af6</x:v>
      </x:c>
      <x:c r="J316" s="36" t="str">
        <x:v>CTX_4172ea6e-6b77-4edb-a9cc-c0014bd1603b|CTX_4e6fcf72-daf3-439f-a232-c434ce416af6</x:v>
      </x:c>
      <x:c r="K316" s="36" t="str">
        <x:v>STM_4172ea6e-6b77-4edb-a9cc-c0014bd1603b|MTM_4e6fcf72-daf3-439f-a232-c434ce416af6</x:v>
      </x:c>
      <x:c r="L316" s="36" t="str"/>
      <x:c r="M316" s="36" t="str"/>
      <x:c r="N316" s="36" t="str">
        <x:v>知识</x:v>
      </x:c>
      <x:c r="O316" s="36" t="str">
        <x:v>短期|中期</x:v>
      </x:c>
      <x:c r="P316" s="36" t="str">
        <x:v>["libreoffice_calc"]</x:v>
      </x:c>
      <x:c r="Q316" s="36" t="str">
        <x:v>[{"step_id":"S1","app":"libreoffice_calc","action_key":"calculate_loan_maturity_dates","input_artifacts":["MaturityDate.xlsx"],"output_artifacts":["MaturityDate.xlsx"],"depends_on":[]},{"step_id":"S2","app":"libreoffice_calc","action_key":"calculate_employee_ages","input_artifacts":["Employee_Age_By_Birthday.xlsx"],"output_artifacts":["Employee_Age_By_Birthday.xlsx"],"depends_on":[]}]</x:v>
      </x:c>
      <x:c r="R316" s="36" t="str">
        <x:v>[]</x:v>
      </x:c>
      <x:c r="S316" s="36" t="str">
        <x:v>calculate_loan_maturity_dates|calculate_employee_ages</x:v>
      </x:c>
      <x:c r="T316" s="36" t="str">
        <x:v>MaturityDate.xlsx|Employee_Age_By_Birthday.xlsx</x:v>
      </x:c>
      <x:c r="U316" s="36" t="str">
        <x:v>retrieve_and_synthesize</x:v>
      </x:c>
      <x:c r="V316" s="36" t="str">
        <x:v>[{"point_id":"P1","description":"在 MaturityDate.xlsx 新增 Maturity Date 列，根据每笔贷款已有的日期和期限信息计算全部贷款的到期日。","weight":0.45,"evidence_memory_ids":["STM_4172ea6e-6b77-4edb-a9cc-c0014bd1603b"]},{"point_id":"P2","description":"在 Employee_Age_By_Birthday.xlsx 中根据每位员工的生日计算对应年龄并填入目标区域。","weight":0.45,"evidence_memory_ids":["MTM_4e6fcf72-daf3-439f-a232-c434ce416af6"]},{"point_id":"P3","description":"各文件和各步骤的规则不串用，不增加无来源操作","weight":0.1,"evidence_memory_ids":["STM_4172ea6e-6b77-4edb-a9cc-c0014bd1603b","MTM_4e6fcf72-daf3-439f-a232-c434ce416af6"]}]</x:v>
      </x:c>
      <x:c r="W316" s="36" t="str">
        <x:v>1.00</x:v>
      </x:c>
      <x:c r="X316" s="39" t="str">
        <x:v>这次按文件分别处理，要求如下：第1件：在 MaturityDate.xlsx 新增 Maturity Date 列，根据每笔贷款已有的日期和期限信息计算全部贷款的到期日；第2件：在 Employee_Age_By_Birthday.xlsx 中根据每位员工的生日计算对应年龄并填入目标区域。</x:v>
      </x:c>
      <x:c r="Y316"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x:v>
      </x:c>
      <x:c r="Z316" s="39" t="str">
        <x:v>不适用：当前题目不存在需要用户进一步选择的候选记忆。</x:v>
      </x:c>
      <x:c r="AA316" s="39" t="str">
        <x:v>不适用：当前题目没有指定需要排除的冲突或禁止记忆。</x:v>
      </x:c>
      <x:c r="AB316" s="39" t="str">
        <x:v>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C316" s="39" t="str">
        <x:v>第1项实际操作：在 MaturityDate.xlsx 新增 Maturity Date 列，根据每笔贷款已有的日期和期限信息计算全部贷款的到期日。执行时必须满足：新列标题必须为 Maturity Date；覆盖所有贷款记录；保留原始列。 第2项实际操作：在 Employee_Age_By_Birthday.xlsx 中根据每位员工的生日计算对应年龄并填入目标区域。执行时必须满足：覆盖所有员工；依据生日计算；不修改无关区域或其他空白单元格。</x:v>
      </x:c>
      <x:c r="AD316" s="39" t="str">
        <x:v>用户的完整请求是：“这次按文件分别处理，要求如下：第1件：在 MaturityDate.xlsx 新增 Maturity Date 列，根据每笔贷款已有的日期和期限信息计算全部贷款的到期日；第2件：在 Employee_Age_By_Birthday.xlsx 中根据每位员工的生日计算对应年龄并填入目标区域。” 第1个当前上下文：MaturityDate.xlsx 已在 LibreOffice Calc 中打开。 第2个当前上下文：Employee_Age_By_Birthday.xlsx 已在 LibreOffice Calc 中打开。 当前请求要求在同一轮工作中得到多个结果。能够支持这些结果的完整必需记忆如下：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MaturityDate.xlsx 新增 Maturity Date 列，根据每笔贷款已有的日期和期限信息计算全部贷款的到期日；2）在 Employee_Age_By_Birthday.xlsx 中根据每位员工的生日计算对应年龄并填入目标区域。每项操作必须分别遵守其对应文件、工作表、范围、格式和输出约束，不能用其中一项替代另一项，也不能把不同文件的规则混用。”</x:v>
      </x:c>
      <x:c r="AE316" s="39" t="str">
        <x:v>本题总分为 1.00 分，各得分点独立累计，允许语义等价表达，不要求模型输出记忆 ID，也不要求逐字复述记忆原文。
第1个得分点（0.45分）：在 MaturityDate.xlsx 新增 Maturity Date 列，根据每笔贷款已有的日期和期限信息计算全部贷款的到期日。该得分点所依据的完整证据为：
第1条记忆（短期/知识）：在 MaturityDate.xlsx 新增 Maturity Date 列，根据每笔贷款已有的日期和期限信息计算全部贷款的到期日。关键约束：新列标题必须为 Maturity Date；覆盖所有贷款记录；保留原始列。
第2个得分点（0.45分）：在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第3个得分点（0.10分）：各文件和各步骤的规则不串用，不增加无来源操作。该得分点所依据的完整证据为：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人工复审时，应依据模型最终给出的信息和实际操作是否满足上述每个得分点分别给分；只命中记忆 ID 但没有形成对应结论不能获得该结论分，形成了正确结论但表达方式不同则不应扣分。</x:v>
      </x:c>
      <x:c r="AF316" s="50" t="str">
        <x:v>not_pass</x:v>
      </x:c>
      <x:c r="AG316" s="50" t="n">
        <x:v>0</x:v>
      </x:c>
    </x:row>
    <x:row r="317" ht="202.5" customHeight="1">
      <x:c r="A317" s="35" t="str">
        <x:v>V3_CM22_Q01</x:v>
      </x:c>
      <x:c r="B317" s="36" t="str">
        <x:v>SG_COMP_CM22</x:v>
      </x:c>
      <x:c r="C317" s="36" t="str">
        <x:v>CM22</x:v>
      </x:c>
      <x:c r="D317" s="36" t="str">
        <x:v>表格转置与列顺序调整</x:v>
      </x:c>
      <x:c r="E317" s="36" t="str">
        <x:v>complementary_multi_memory</x:v>
      </x:c>
      <x:c r="F317" s="36" t="str">
        <x:v>human_context_explicit</x:v>
      </x:c>
      <x:c r="G317" s="36" t="str">
        <x:v>challenge</x:v>
      </x:c>
      <x:c r="H317" s="36" t="str">
        <x:v>困难</x:v>
      </x:c>
      <x:c r="I317" s="36" t="str">
        <x:v>eb03d19a-b88d-4de4-8a64-ca0ac66f426b|7a4e4bc8-922c-4c84-865c-25ba34136be1</x:v>
      </x:c>
      <x:c r="J317" s="36" t="str">
        <x:v>CTX_eb03d19a-b88d-4de4-8a64-ca0ac66f426b|CTX_7a4e4bc8-922c-4c84-865c-25ba34136be1</x:v>
      </x:c>
      <x:c r="K317" s="36" t="str">
        <x:v>LTM_eb03d19a-b88d-4de4-8a64-ca0ac66f426b|LTM_7a4e4bc8-922c-4c84-865c-25ba34136be1</x:v>
      </x:c>
      <x:c r="L317" s="36" t="str"/>
      <x:c r="M317" s="36" t="str"/>
      <x:c r="N317" s="36" t="str">
        <x:v>工作流程</x:v>
      </x:c>
      <x:c r="O317" s="36" t="str">
        <x:v>长期</x:v>
      </x:c>
      <x:c r="P317" s="36" t="str">
        <x:v>["libreoffice_calc"]</x:v>
      </x:c>
      <x:c r="Q317" s="36" t="str">
        <x:v>[{"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x:v>
      </x:c>
      <x:c r="R317" s="36" t="str">
        <x:v>[]</x:v>
      </x:c>
      <x:c r="S317" s="36" t="str">
        <x:v>transpose_table_to_b8|reorder_order_columns</x:v>
      </x:c>
      <x:c r="T317" s="36" t="str">
        <x:v>Students_Class_Subject_Marks.xlsx|Name_Order_Id_move_column.xlsx</x:v>
      </x:c>
      <x:c r="U317" s="36" t="str">
        <x:v>retrieve_and_synthesize</x:v>
      </x:c>
      <x:c r="V317" s="36" t="str">
        <x:v>[{"point_id":"P1","description":"在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x:v>
      </x:c>
      <x:c r="W317" s="36" t="str">
        <x:v>1.00</x:v>
      </x:c>
      <x:c r="X317" s="39" t="str">
        <x:v>我今天要一起处理这批表。先做第1件事：在 Students_Class_Subject_Marks.xlsx 中转置 B2:F5 表格，并把转置结果粘贴到以 B8 为左上角的区域；再做第2件事：在 Name_Order_Id_move_column.xlsx 中把列顺序调整为 Date、First Name、Last Name、Order ID、Sales。都按各自原来的规则完成。</x:v>
      </x:c>
      <x:c r="Y317" s="39" t="str">
        <x:v>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x:v>
      </x:c>
      <x:c r="Z317" s="39" t="str">
        <x:v>不适用：当前题目不存在需要用户进一步选择的候选记忆。</x:v>
      </x:c>
      <x:c r="AA317" s="39" t="str">
        <x:v>不适用：当前题目没有指定需要排除的冲突或禁止记忆。</x:v>
      </x:c>
      <x:c r="AB317" s="39" t="str">
        <x:v>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C317" s="39" t="str">
        <x:v>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x:v>
      </x:c>
      <x:c r="AD317" s="39" t="str">
        <x:v>用户的完整请求是：“我今天要一起处理这批表。先做第1件事：在 Students_Class_Subject_Marks.xlsx 中转置 B2:F5 表格，并把转置结果粘贴到以 B8 为左上角的区域；再做第2件事：在 Name_Order_Id_move_column.xlsx 中把列顺序调整为 Date、First Name、Last Name、Order ID、Sales。都按各自原来的规则完成。”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E317" s="39" t="str">
        <x:v>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317" s="50" t="str">
        <x:v>not_pass</x:v>
      </x:c>
      <x:c r="AG317" s="50" t="n">
        <x:v>0</x:v>
      </x:c>
    </x:row>
    <x:row r="318" ht="202.5" customHeight="1">
      <x:c r="A318" s="35" t="str">
        <x:v>V3_CM22_Q02</x:v>
      </x:c>
      <x:c r="B318" s="36" t="str">
        <x:v>SG_COMP_CM22</x:v>
      </x:c>
      <x:c r="C318" s="36" t="str">
        <x:v>CM22</x:v>
      </x:c>
      <x:c r="D318" s="36" t="str">
        <x:v>表格转置与列顺序调整</x:v>
      </x:c>
      <x:c r="E318" s="36" t="str">
        <x:v>complementary_multi_memory</x:v>
      </x:c>
      <x:c r="F318" s="36" t="str">
        <x:v>human_goal_oriented</x:v>
      </x:c>
      <x:c r="G318" s="36" t="str">
        <x:v>challenge</x:v>
      </x:c>
      <x:c r="H318" s="36" t="str">
        <x:v>困难</x:v>
      </x:c>
      <x:c r="I318" s="36" t="str">
        <x:v>eb03d19a-b88d-4de4-8a64-ca0ac66f426b|7a4e4bc8-922c-4c84-865c-25ba34136be1</x:v>
      </x:c>
      <x:c r="J318" s="36" t="str">
        <x:v>CTX_eb03d19a-b88d-4de4-8a64-ca0ac66f426b|CTX_7a4e4bc8-922c-4c84-865c-25ba34136be1</x:v>
      </x:c>
      <x:c r="K318" s="36" t="str">
        <x:v>LTM_eb03d19a-b88d-4de4-8a64-ca0ac66f426b|LTM_7a4e4bc8-922c-4c84-865c-25ba34136be1</x:v>
      </x:c>
      <x:c r="L318" s="36" t="str"/>
      <x:c r="M318" s="36" t="str"/>
      <x:c r="N318" s="36" t="str">
        <x:v>工作流程</x:v>
      </x:c>
      <x:c r="O318" s="36" t="str">
        <x:v>长期</x:v>
      </x:c>
      <x:c r="P318" s="36" t="str">
        <x:v>["libreoffice_calc"]</x:v>
      </x:c>
      <x:c r="Q318" s="36" t="str">
        <x:v>[{"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x:v>
      </x:c>
      <x:c r="R318" s="36" t="str">
        <x:v>[]</x:v>
      </x:c>
      <x:c r="S318" s="36" t="str">
        <x:v>transpose_table_to_b8|reorder_order_columns</x:v>
      </x:c>
      <x:c r="T318" s="36" t="str">
        <x:v>Students_Class_Subject_Marks.xlsx|Name_Order_Id_move_column.xlsx</x:v>
      </x:c>
      <x:c r="U318" s="36" t="str">
        <x:v>retrieve_and_synthesize</x:v>
      </x:c>
      <x:c r="V318" s="36" t="str">
        <x:v>[{"point_id":"P1","description":"在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x:v>
      </x:c>
      <x:c r="W318" s="36" t="str">
        <x:v>1.00</x:v>
      </x:c>
      <x:c r="X318" s="39" t="str">
        <x:v>这批文件马上要交付，帮我把几项工作一起收尾：第1件：在 Students_Class_Subject_Marks.xlsx 中转置 B2:F5 表格，并把转置结果粘贴到以 B8 为左上角的区域；第2件：在 Name_Order_Id_move_column.xlsx 中把列顺序调整为 Date、First Name、Last Name、Order ID、Sales。</x:v>
      </x:c>
      <x:c r="Y318" s="39" t="str">
        <x:v>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x:v>
      </x:c>
      <x:c r="Z318" s="39" t="str">
        <x:v>不适用：当前题目不存在需要用户进一步选择的候选记忆。</x:v>
      </x:c>
      <x:c r="AA318" s="39" t="str">
        <x:v>不适用：当前题目没有指定需要排除的冲突或禁止记忆。</x:v>
      </x:c>
      <x:c r="AB318" s="39" t="str">
        <x:v>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C318" s="39" t="str">
        <x:v>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x:v>
      </x:c>
      <x:c r="AD318" s="39" t="str">
        <x:v>用户的完整请求是：“这批文件马上要交付，帮我把几项工作一起收尾：第1件：在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E318" s="39" t="str">
        <x:v>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318" s="50" t="str">
        <x:v>not_pass</x:v>
      </x:c>
      <x:c r="AG318" s="50" t="n">
        <x:v>0</x:v>
      </x:c>
    </x:row>
    <x:row r="319" ht="202.5" customHeight="1">
      <x:c r="A319" s="35" t="str">
        <x:v>V3_CM22_Q03</x:v>
      </x:c>
      <x:c r="B319" s="36" t="str">
        <x:v>SG_COMP_CM22</x:v>
      </x:c>
      <x:c r="C319" s="36" t="str">
        <x:v>CM22</x:v>
      </x:c>
      <x:c r="D319" s="36" t="str">
        <x:v>表格转置与列顺序调整</x:v>
      </x:c>
      <x:c r="E319" s="36" t="str">
        <x:v>complementary_multi_memory</x:v>
      </x:c>
      <x:c r="F319" s="36" t="str">
        <x:v>contextual_ellipsis</x:v>
      </x:c>
      <x:c r="G319" s="36" t="str">
        <x:v>challenge</x:v>
      </x:c>
      <x:c r="H319" s="36" t="str">
        <x:v>困难</x:v>
      </x:c>
      <x:c r="I319" s="36" t="str">
        <x:v>eb03d19a-b88d-4de4-8a64-ca0ac66f426b|7a4e4bc8-922c-4c84-865c-25ba34136be1</x:v>
      </x:c>
      <x:c r="J319" s="36" t="str">
        <x:v>CTX_eb03d19a-b88d-4de4-8a64-ca0ac66f426b|CTX_7a4e4bc8-922c-4c84-865c-25ba34136be1</x:v>
      </x:c>
      <x:c r="K319" s="36" t="str">
        <x:v>LTM_eb03d19a-b88d-4de4-8a64-ca0ac66f426b|LTM_7a4e4bc8-922c-4c84-865c-25ba34136be1</x:v>
      </x:c>
      <x:c r="L319" s="36" t="str"/>
      <x:c r="M319" s="36" t="str"/>
      <x:c r="N319" s="36" t="str">
        <x:v>工作流程</x:v>
      </x:c>
      <x:c r="O319" s="36" t="str">
        <x:v>长期</x:v>
      </x:c>
      <x:c r="P319" s="36" t="str">
        <x:v>["libreoffice_calc"]</x:v>
      </x:c>
      <x:c r="Q319" s="36" t="str">
        <x:v>[{"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x:v>
      </x:c>
      <x:c r="R319" s="36" t="str">
        <x:v>[]</x:v>
      </x:c>
      <x:c r="S319" s="36" t="str">
        <x:v>transpose_table_to_b8|reorder_order_columns</x:v>
      </x:c>
      <x:c r="T319" s="36" t="str">
        <x:v>Students_Class_Subject_Marks.xlsx|Name_Order_Id_move_column.xlsx</x:v>
      </x:c>
      <x:c r="U319" s="36" t="str">
        <x:v>retrieve_and_synthesize</x:v>
      </x:c>
      <x:c r="V319" s="36" t="str">
        <x:v>[{"point_id":"P1","description":"在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x:v>
      </x:c>
      <x:c r="W319" s="36" t="str">
        <x:v>1.00</x:v>
      </x:c>
      <x:c r="X319" s="39" t="str">
        <x:v>相关工作表我都打开了，接着分别处理：第1件：在 Students_Class_Subject_Marks.xlsx 中转置 B2:F5 表格，并把转置结果粘贴到以 B8 为左上角的区域；第2件：在 Name_Order_Id_move_column.xlsx 中把列顺序调整为 Date、First Name、Last Name、Order ID、Sales。</x:v>
      </x:c>
      <x:c r="Y319" s="39" t="str">
        <x:v>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x:v>
      </x:c>
      <x:c r="Z319" s="39" t="str">
        <x:v>不适用：当前题目不存在需要用户进一步选择的候选记忆。</x:v>
      </x:c>
      <x:c r="AA319" s="39" t="str">
        <x:v>不适用：当前题目没有指定需要排除的冲突或禁止记忆。</x:v>
      </x:c>
      <x:c r="AB319" s="39" t="str">
        <x:v>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C319" s="39" t="str">
        <x:v>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x:v>
      </x:c>
      <x:c r="AD319" s="39" t="str">
        <x:v>用户的完整请求是：“相关工作表我都打开了，接着分别处理：第1件：在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E319" s="39" t="str">
        <x:v>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319" s="50" t="str">
        <x:v>not_pass</x:v>
      </x:c>
      <x:c r="AG319" s="50" t="n">
        <x:v>0</x:v>
      </x:c>
    </x:row>
    <x:row r="320" ht="202.5" customHeight="1">
      <x:c r="A320" s="35" t="str">
        <x:v>V3_CM22_Q04</x:v>
      </x:c>
      <x:c r="B320" s="36" t="str">
        <x:v>SG_COMP_CM22</x:v>
      </x:c>
      <x:c r="C320" s="36" t="str">
        <x:v>CM22</x:v>
      </x:c>
      <x:c r="D320" s="36" t="str">
        <x:v>表格转置与列顺序调整</x:v>
      </x:c>
      <x:c r="E320" s="36" t="str">
        <x:v>complementary_multi_memory</x:v>
      </x:c>
      <x:c r="F320" s="36" t="str">
        <x:v>low_overlap_paraphrase</x:v>
      </x:c>
      <x:c r="G320" s="36" t="str">
        <x:v>challenge</x:v>
      </x:c>
      <x:c r="H320" s="36" t="str">
        <x:v>困难</x:v>
      </x:c>
      <x:c r="I320" s="36" t="str">
        <x:v>eb03d19a-b88d-4de4-8a64-ca0ac66f426b|7a4e4bc8-922c-4c84-865c-25ba34136be1</x:v>
      </x:c>
      <x:c r="J320" s="36" t="str">
        <x:v>CTX_eb03d19a-b88d-4de4-8a64-ca0ac66f426b|CTX_7a4e4bc8-922c-4c84-865c-25ba34136be1</x:v>
      </x:c>
      <x:c r="K320" s="36" t="str">
        <x:v>LTM_eb03d19a-b88d-4de4-8a64-ca0ac66f426b|LTM_7a4e4bc8-922c-4c84-865c-25ba34136be1</x:v>
      </x:c>
      <x:c r="L320" s="36" t="str"/>
      <x:c r="M320" s="36" t="str"/>
      <x:c r="N320" s="36" t="str">
        <x:v>工作流程</x:v>
      </x:c>
      <x:c r="O320" s="36" t="str">
        <x:v>长期</x:v>
      </x:c>
      <x:c r="P320" s="36" t="str">
        <x:v>["libreoffice_calc"]</x:v>
      </x:c>
      <x:c r="Q320" s="36" t="str">
        <x:v>[{"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x:v>
      </x:c>
      <x:c r="R320" s="36" t="str">
        <x:v>[]</x:v>
      </x:c>
      <x:c r="S320" s="36" t="str">
        <x:v>transpose_table_to_b8|reorder_order_columns</x:v>
      </x:c>
      <x:c r="T320" s="36" t="str">
        <x:v>Students_Class_Subject_Marks.xlsx|Name_Order_Id_move_column.xlsx</x:v>
      </x:c>
      <x:c r="U320" s="36" t="str">
        <x:v>retrieve_and_synthesize</x:v>
      </x:c>
      <x:c r="V320" s="36" t="str">
        <x:v>[{"point_id":"P1","description":"在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x:v>
      </x:c>
      <x:c r="W320" s="36" t="str">
        <x:v>1.00</x:v>
      </x:c>
      <x:c r="X320" s="39" t="str">
        <x:v>我想一次把这批工作做完：第1件：在 Students_Class_Subject_Marks.xlsx 中转置 B2:F5 表格，并把转置结果粘贴到以 B8 为左上角的区域；第2件：在 Name_Order_Id_move_column.xlsx 中把列顺序调整为 Date、First Name、Last Name、Order ID、Sales。不同文件的规则别串在一起。</x:v>
      </x:c>
      <x:c r="Y320" s="39" t="str">
        <x:v>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x:v>
      </x:c>
      <x:c r="Z320" s="39" t="str">
        <x:v>不适用：当前题目不存在需要用户进一步选择的候选记忆。</x:v>
      </x:c>
      <x:c r="AA320" s="39" t="str">
        <x:v>不适用：当前题目没有指定需要排除的冲突或禁止记忆。</x:v>
      </x:c>
      <x:c r="AB320" s="39" t="str">
        <x:v>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C320" s="39" t="str">
        <x:v>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x:v>
      </x:c>
      <x:c r="AD320" s="39" t="str">
        <x:v>用户的完整请求是：“我想一次把这批工作做完：第1件：在 Students_Class_Subject_Marks.xlsx 中转置 B2:F5 表格，并把转置结果粘贴到以 B8 为左上角的区域；第2件：在 Name_Order_Id_move_column.xlsx 中把列顺序调整为 Date、First Name、Last Name、Order ID、Sales。不同文件的规则别串在一起。”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E320" s="39" t="str">
        <x:v>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320" s="50" t="str">
        <x:v>not_pass</x:v>
      </x:c>
      <x:c r="AG320" s="50" t="n">
        <x:v>0</x:v>
      </x:c>
    </x:row>
    <x:row r="321" ht="202.5" customHeight="1">
      <x:c r="A321" s="35" t="str">
        <x:v>V3_CM22_Q05</x:v>
      </x:c>
      <x:c r="B321" s="36" t="str">
        <x:v>SG_COMP_CM22</x:v>
      </x:c>
      <x:c r="C321" s="36" t="str">
        <x:v>CM22</x:v>
      </x:c>
      <x:c r="D321" s="36" t="str">
        <x:v>表格转置与列顺序调整</x:v>
      </x:c>
      <x:c r="E321" s="36" t="str">
        <x:v>complementary_multi_memory</x:v>
      </x:c>
      <x:c r="F321" s="36" t="str">
        <x:v>human_constraint_emphasis</x:v>
      </x:c>
      <x:c r="G321" s="36" t="str">
        <x:v>challenge</x:v>
      </x:c>
      <x:c r="H321" s="36" t="str">
        <x:v>困难</x:v>
      </x:c>
      <x:c r="I321" s="36" t="str">
        <x:v>eb03d19a-b88d-4de4-8a64-ca0ac66f426b|7a4e4bc8-922c-4c84-865c-25ba34136be1</x:v>
      </x:c>
      <x:c r="J321" s="36" t="str">
        <x:v>CTX_eb03d19a-b88d-4de4-8a64-ca0ac66f426b|CTX_7a4e4bc8-922c-4c84-865c-25ba34136be1</x:v>
      </x:c>
      <x:c r="K321" s="36" t="str">
        <x:v>LTM_eb03d19a-b88d-4de4-8a64-ca0ac66f426b|LTM_7a4e4bc8-922c-4c84-865c-25ba34136be1</x:v>
      </x:c>
      <x:c r="L321" s="36" t="str"/>
      <x:c r="M321" s="36" t="str"/>
      <x:c r="N321" s="36" t="str">
        <x:v>工作流程</x:v>
      </x:c>
      <x:c r="O321" s="36" t="str">
        <x:v>长期</x:v>
      </x:c>
      <x:c r="P321" s="36" t="str">
        <x:v>["libreoffice_calc"]</x:v>
      </x:c>
      <x:c r="Q321" s="36" t="str">
        <x:v>[{"step_id":"S1","app":"libreoffice_calc","action_key":"transpose_table_to_b8","input_artifacts":["Students_Class_Subject_Marks.xlsx"],"output_artifacts":["Students_Class_Subject_Marks.xlsx"],"depends_on":[]},{"step_id":"S2","app":"libreoffice_calc","action_key":"reorder_order_columns","input_artifacts":["Name_Order_Id_move_column.xlsx"],"output_artifacts":["Name_Order_Id_move_column.xlsx"],"depends_on":[]}]</x:v>
      </x:c>
      <x:c r="R321" s="36" t="str">
        <x:v>[]</x:v>
      </x:c>
      <x:c r="S321" s="36" t="str">
        <x:v>transpose_table_to_b8|reorder_order_columns</x:v>
      </x:c>
      <x:c r="T321" s="36" t="str">
        <x:v>Students_Class_Subject_Marks.xlsx|Name_Order_Id_move_column.xlsx</x:v>
      </x:c>
      <x:c r="U321" s="36" t="str">
        <x:v>retrieve_and_synthesize</x:v>
      </x:c>
      <x:c r="V321" s="36" t="str">
        <x:v>[{"point_id":"P1","description":"在 Students_Class_Subject_Marks.xlsx 中转置 B2:F5 表格，并把转置结果粘贴到以 B8 为左上角的区域。","weight":0.45,"evidence_memory_ids":["LTM_eb03d19a-b88d-4de4-8a64-ca0ac66f426b"]},{"point_id":"P2","description":"在 Name_Order_Id_move_column.xlsx 中把列顺序调整为 Date、First Name、Last Name、Order ID、Sales。","weight":0.45,"evidence_memory_ids":["LTM_7a4e4bc8-922c-4c84-865c-25ba34136be1"]},{"point_id":"P3","description":"各文件和各步骤的规则不串用，不增加无来源操作","weight":0.1,"evidence_memory_ids":["LTM_eb03d19a-b88d-4de4-8a64-ca0ac66f426b","LTM_7a4e4bc8-922c-4c84-865c-25ba34136be1"]}]</x:v>
      </x:c>
      <x:c r="W321" s="36" t="str">
        <x:v>1.00</x:v>
      </x:c>
      <x:c r="X321" s="39" t="str">
        <x:v>这次按文件分别处理，要求如下：第1件：在 Students_Class_Subject_Marks.xlsx 中转置 B2:F5 表格，并把转置结果粘贴到以 B8 为左上角的区域；第2件：在 Name_Order_Id_move_column.xlsx 中把列顺序调整为 Date、First Name、Last Name、Order ID、Sales。</x:v>
      </x:c>
      <x:c r="Y321" s="39" t="str">
        <x:v>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x:v>
      </x:c>
      <x:c r="Z321" s="39" t="str">
        <x:v>不适用：当前题目不存在需要用户进一步选择的候选记忆。</x:v>
      </x:c>
      <x:c r="AA321" s="39" t="str">
        <x:v>不适用：当前题目没有指定需要排除的冲突或禁止记忆。</x:v>
      </x:c>
      <x:c r="AB321" s="39" t="str">
        <x:v>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C321" s="39" t="str">
        <x:v>第1项实际操作：在 Students_Class_Subject_Marks.xlsx 中转置 B2:F5 表格，并把转置结果粘贴到以 B8 为左上角的区域。执行时必须满足：源范围为 B2:F5；执行矩阵转置；目标左上角必须是 B8。 第2项实际操作：在 Name_Order_Id_move_column.xlsx 中把列顺序调整为 Date、First Name、Last Name、Order ID、Sales。执行时必须满足：五列顺序必须完全一致；整列数据随表头移动；不修改无关区域。</x:v>
      </x:c>
      <x:c r="AD321" s="39" t="str">
        <x:v>用户的完整请求是：“这次按文件分别处理，要求如下：第1件：在 Students_Class_Subject_Marks.xlsx 中转置 B2:F5 表格，并把转置结果粘贴到以 B8 为左上角的区域；第2件：在 Name_Order_Id_move_column.xlsx 中把列顺序调整为 Date、First Name、Last Name、Order ID、Sales。” 第1个当前上下文：Students_Class_Subject_Marks.xlsx 已在 LibreOffice Calc 中打开。 第2个当前上下文：Name_Order_Id_move_column.xlsx 已在 LibreOffice Calc 中打开。 当前请求要求在同一轮工作中得到多个结果。能够支持这些结果的完整必需记忆如下：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Students_Class_Subject_Marks.xlsx 中转置 B2:F5 表格，并把转置结果粘贴到以 B8 为左上角的区域；2）在 Name_Order_Id_move_column.xlsx 中把列顺序调整为 Date、First Name、Last Name、Order ID、Sales。每项操作必须分别遵守其对应文件、工作表、范围、格式和输出约束，不能用其中一项替代另一项，也不能把不同文件的规则混用。”</x:v>
      </x:c>
      <x:c r="AE321" s="39" t="str">
        <x:v>本题总分为 1.00 分，各得分点独立累计，允许语义等价表达，不要求模型输出记忆 ID，也不要求逐字复述记忆原文。
第1个得分点（0.45分）：在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第2个得分点（0.45分）：在 Name_Order_Id_move_column.xlsx 中把列顺序调整为 Date、First Name、Last Name、Order ID、Sales。该得分点所依据的完整证据为：
第1条记忆（长期/工作流程）：在 Name_Order_Id_move_column.xlsx 中把列顺序调整为 Date、First Name、Last Name、Order ID、Sales。关键约束：五列顺序必须完全一致；整列数据随表头移动；不修改无关区域。
第3个得分点（0.10分）：各文件和各步骤的规则不串用，不增加无来源操作。该得分点所依据的完整证据为：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321" s="50" t="str">
        <x:v>not_pass</x:v>
      </x:c>
      <x:c r="AG321" s="50" t="n">
        <x:v>0</x:v>
      </x:c>
    </x:row>
    <x:row r="322" ht="216" customHeight="1">
      <x:c r="A322" s="35" t="str">
        <x:v>V3_CM23_Q01</x:v>
      </x:c>
      <x:c r="B322" s="36" t="str">
        <x:v>SG_COMP_CM23</x:v>
      </x:c>
      <x:c r="C322" s="36" t="str">
        <x:v>CM23</x:v>
      </x:c>
      <x:c r="D322" s="36" t="str">
        <x:v>空白填充与组合数据</x:v>
      </x:c>
      <x:c r="E322" s="36" t="str">
        <x:v>complementary_multi_memory</x:v>
      </x:c>
      <x:c r="F322" s="36" t="str">
        <x:v>human_context_explicit</x:v>
      </x:c>
      <x:c r="G322" s="36" t="str">
        <x:v>challenge</x:v>
      </x:c>
      <x:c r="H322" s="36" t="str">
        <x:v>困难</x:v>
      </x:c>
      <x:c r="I322" s="36" t="str">
        <x:v>01b269ae-2111-4a07-81fd-3fcd711993b0|4de54231-e4b5-49e3-b2ba-61a0bec721c0</x:v>
      </x:c>
      <x:c r="J322" s="36" t="str">
        <x:v>CTX_01b269ae-2111-4a07-81fd-3fcd711993b0|CTX_4de54231-e4b5-49e3-b2ba-61a0bec721c0</x:v>
      </x:c>
      <x:c r="K322" s="36" t="str">
        <x:v>STM_01b269ae-2111-4a07-81fd-3fcd711993b0|STM_4de54231-e4b5-49e3-b2ba-61a0bec721c0</x:v>
      </x:c>
      <x:c r="L322" s="36" t="str"/>
      <x:c r="M322" s="36" t="str"/>
      <x:c r="N322" s="36" t="str">
        <x:v>工作流程</x:v>
      </x:c>
      <x:c r="O322" s="36" t="str">
        <x:v>短期</x:v>
      </x:c>
      <x:c r="P322" s="36" t="str">
        <x:v>["libreoffice_calc"]</x:v>
      </x:c>
      <x:c r="Q322" s="36" t="str">
        <x:v>[{"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x:v>
      </x:c>
      <x:c r="R322" s="36" t="str">
        <x:v>[]</x:v>
      </x:c>
      <x:c r="S322" s="36" t="str">
        <x:v>fill_blank_from_above|fill_acceleration_and_build_combined_data</x:v>
      </x:c>
      <x:c r="T322" s="36" t="str">
        <x:v>Student_Level_Fill_Blank.xlsx|RampUpAndDown.xlsx</x:v>
      </x:c>
      <x:c r="U322" s="36" t="str">
        <x:v>retrieve_and_synthesize</x:v>
      </x:c>
      <x:c r="V322" s="36" t="str">
        <x:v>[{"point_id":"P1","description":"处理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x:v>
      </x:c>
      <x:c r="W322" s="36" t="str">
        <x:v>1.00</x:v>
      </x:c>
      <x:c r="X322" s="39" t="str">
        <x:v>我今天要一起处理这批表。先做第1件事：处理 Student_Level_Fill_Blank.xlsx 时，将 B1:E30 内的空白单元格填成其上方单元格的值，并保持其他区域不变；再做第2件事：在 RampUpAndDown.xlsx 中根据第 2 行已有加速度公式填充 B、D 两列其余行；再把 A 到 D 列连同表头按“Header: cell value”格式拼接到新建 Combined Data 列，并将其中数值保留两位小数。都按各自原来的规则完成。</x:v>
      </x:c>
      <x:c r="Y322" s="39" t="str">
        <x:v>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322" s="39" t="str">
        <x:v>不适用：当前题目不存在需要用户进一步选择的候选记忆。</x:v>
      </x:c>
      <x:c r="AA322" s="39" t="str">
        <x:v>不适用：当前题目没有指定需要排除的冲突或禁止记忆。</x:v>
      </x:c>
      <x:c r="AB322" s="39" t="str">
        <x:v>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C322" s="39" t="str">
        <x:v>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322" s="39" t="str">
        <x:v>用户的完整请求是：“我今天要一起处理这批表。先做第1件事：处理 Student_Level_Fill_Blank.xlsx 时，将 B1:E30 内的空白单元格填成其上方单元格的值，并保持其他区域不变；再做第2件事：在 RampUpAndDown.xlsx 中根据第 2 行已有加速度公式填充 B、D 两列其余行；再把 A 到 D 列连同表头按“Header: cell value”格式拼接到新建 Combined Data 列，并将其中数值保留两位小数。都按各自原来的规则完成。”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E322" s="39" t="str">
        <x:v>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322" s="50" t="str">
        <x:v>not_pass</x:v>
      </x:c>
      <x:c r="AG322" s="50" t="n">
        <x:v>0</x:v>
      </x:c>
    </x:row>
    <x:row r="323" ht="216" customHeight="1">
      <x:c r="A323" s="35" t="str">
        <x:v>V3_CM23_Q02</x:v>
      </x:c>
      <x:c r="B323" s="36" t="str">
        <x:v>SG_COMP_CM23</x:v>
      </x:c>
      <x:c r="C323" s="36" t="str">
        <x:v>CM23</x:v>
      </x:c>
      <x:c r="D323" s="36" t="str">
        <x:v>空白填充与组合数据</x:v>
      </x:c>
      <x:c r="E323" s="36" t="str">
        <x:v>complementary_multi_memory</x:v>
      </x:c>
      <x:c r="F323" s="36" t="str">
        <x:v>human_goal_oriented</x:v>
      </x:c>
      <x:c r="G323" s="36" t="str">
        <x:v>challenge</x:v>
      </x:c>
      <x:c r="H323" s="36" t="str">
        <x:v>困难</x:v>
      </x:c>
      <x:c r="I323" s="36" t="str">
        <x:v>01b269ae-2111-4a07-81fd-3fcd711993b0|4de54231-e4b5-49e3-b2ba-61a0bec721c0</x:v>
      </x:c>
      <x:c r="J323" s="36" t="str">
        <x:v>CTX_01b269ae-2111-4a07-81fd-3fcd711993b0|CTX_4de54231-e4b5-49e3-b2ba-61a0bec721c0</x:v>
      </x:c>
      <x:c r="K323" s="36" t="str">
        <x:v>STM_01b269ae-2111-4a07-81fd-3fcd711993b0|STM_4de54231-e4b5-49e3-b2ba-61a0bec721c0</x:v>
      </x:c>
      <x:c r="L323" s="36" t="str"/>
      <x:c r="M323" s="36" t="str"/>
      <x:c r="N323" s="36" t="str">
        <x:v>工作流程</x:v>
      </x:c>
      <x:c r="O323" s="36" t="str">
        <x:v>短期</x:v>
      </x:c>
      <x:c r="P323" s="36" t="str">
        <x:v>["libreoffice_calc"]</x:v>
      </x:c>
      <x:c r="Q323" s="36" t="str">
        <x:v>[{"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x:v>
      </x:c>
      <x:c r="R323" s="36" t="str">
        <x:v>[]</x:v>
      </x:c>
      <x:c r="S323" s="36" t="str">
        <x:v>fill_blank_from_above|fill_acceleration_and_build_combined_data</x:v>
      </x:c>
      <x:c r="T323" s="36" t="str">
        <x:v>Student_Level_Fill_Blank.xlsx|RampUpAndDown.xlsx</x:v>
      </x:c>
      <x:c r="U323" s="36" t="str">
        <x:v>retrieve_and_synthesize</x:v>
      </x:c>
      <x:c r="V323" s="36" t="str">
        <x:v>[{"point_id":"P1","description":"处理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x:v>
      </x:c>
      <x:c r="W323" s="36" t="str">
        <x:v>1.00</x:v>
      </x:c>
      <x:c r="X323" s="39" t="str">
        <x:v>这批文件马上要交付，帮我把几项工作一起收尾：第1件：处理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x:v>
      </x:c>
      <x:c r="Y323" s="39" t="str">
        <x:v>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323" s="39" t="str">
        <x:v>不适用：当前题目不存在需要用户进一步选择的候选记忆。</x:v>
      </x:c>
      <x:c r="AA323" s="39" t="str">
        <x:v>不适用：当前题目没有指定需要排除的冲突或禁止记忆。</x:v>
      </x:c>
      <x:c r="AB323" s="39" t="str">
        <x:v>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C323" s="39" t="str">
        <x:v>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323" s="39" t="str">
        <x:v>用户的完整请求是：“这批文件马上要交付，帮我把几项工作一起收尾：第1件：处理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E323" s="39" t="str">
        <x:v>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323" s="50" t="str">
        <x:v>not_pass</x:v>
      </x:c>
      <x:c r="AG323" s="50" t="n">
        <x:v>0</x:v>
      </x:c>
    </x:row>
    <x:row r="324" ht="216" customHeight="1">
      <x:c r="A324" s="35" t="str">
        <x:v>V3_CM23_Q03</x:v>
      </x:c>
      <x:c r="B324" s="36" t="str">
        <x:v>SG_COMP_CM23</x:v>
      </x:c>
      <x:c r="C324" s="36" t="str">
        <x:v>CM23</x:v>
      </x:c>
      <x:c r="D324" s="36" t="str">
        <x:v>空白填充与组合数据</x:v>
      </x:c>
      <x:c r="E324" s="36" t="str">
        <x:v>complementary_multi_memory</x:v>
      </x:c>
      <x:c r="F324" s="36" t="str">
        <x:v>contextual_ellipsis</x:v>
      </x:c>
      <x:c r="G324" s="36" t="str">
        <x:v>challenge</x:v>
      </x:c>
      <x:c r="H324" s="36" t="str">
        <x:v>困难</x:v>
      </x:c>
      <x:c r="I324" s="36" t="str">
        <x:v>01b269ae-2111-4a07-81fd-3fcd711993b0|4de54231-e4b5-49e3-b2ba-61a0bec721c0</x:v>
      </x:c>
      <x:c r="J324" s="36" t="str">
        <x:v>CTX_01b269ae-2111-4a07-81fd-3fcd711993b0|CTX_4de54231-e4b5-49e3-b2ba-61a0bec721c0</x:v>
      </x:c>
      <x:c r="K324" s="36" t="str">
        <x:v>STM_01b269ae-2111-4a07-81fd-3fcd711993b0|STM_4de54231-e4b5-49e3-b2ba-61a0bec721c0</x:v>
      </x:c>
      <x:c r="L324" s="36" t="str"/>
      <x:c r="M324" s="36" t="str"/>
      <x:c r="N324" s="36" t="str">
        <x:v>工作流程</x:v>
      </x:c>
      <x:c r="O324" s="36" t="str">
        <x:v>短期</x:v>
      </x:c>
      <x:c r="P324" s="36" t="str">
        <x:v>["libreoffice_calc"]</x:v>
      </x:c>
      <x:c r="Q324" s="36" t="str">
        <x:v>[{"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x:v>
      </x:c>
      <x:c r="R324" s="36" t="str">
        <x:v>[]</x:v>
      </x:c>
      <x:c r="S324" s="36" t="str">
        <x:v>fill_blank_from_above|fill_acceleration_and_build_combined_data</x:v>
      </x:c>
      <x:c r="T324" s="36" t="str">
        <x:v>Student_Level_Fill_Blank.xlsx|RampUpAndDown.xlsx</x:v>
      </x:c>
      <x:c r="U324" s="36" t="str">
        <x:v>retrieve_and_synthesize</x:v>
      </x:c>
      <x:c r="V324" s="36" t="str">
        <x:v>[{"point_id":"P1","description":"处理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x:v>
      </x:c>
      <x:c r="W324" s="36" t="str">
        <x:v>1.00</x:v>
      </x:c>
      <x:c r="X324" s="39" t="str">
        <x:v>相关工作表我都打开了，接着分别处理：第1件：处理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x:v>
      </x:c>
      <x:c r="Y324" s="39" t="str">
        <x:v>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324" s="39" t="str">
        <x:v>不适用：当前题目不存在需要用户进一步选择的候选记忆。</x:v>
      </x:c>
      <x:c r="AA324" s="39" t="str">
        <x:v>不适用：当前题目没有指定需要排除的冲突或禁止记忆。</x:v>
      </x:c>
      <x:c r="AB324" s="39" t="str">
        <x:v>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C324" s="39" t="str">
        <x:v>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324" s="39" t="str">
        <x:v>用户的完整请求是：“相关工作表我都打开了，接着分别处理：第1件：处理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E324" s="39" t="str">
        <x:v>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324" s="50" t="str">
        <x:v>not_pass</x:v>
      </x:c>
      <x:c r="AG324" s="50" t="n">
        <x:v>0</x:v>
      </x:c>
    </x:row>
    <x:row r="325" ht="216" customHeight="1">
      <x:c r="A325" s="35" t="str">
        <x:v>V3_CM23_Q04</x:v>
      </x:c>
      <x:c r="B325" s="36" t="str">
        <x:v>SG_COMP_CM23</x:v>
      </x:c>
      <x:c r="C325" s="36" t="str">
        <x:v>CM23</x:v>
      </x:c>
      <x:c r="D325" s="36" t="str">
        <x:v>空白填充与组合数据</x:v>
      </x:c>
      <x:c r="E325" s="36" t="str">
        <x:v>complementary_multi_memory</x:v>
      </x:c>
      <x:c r="F325" s="36" t="str">
        <x:v>low_overlap_paraphrase</x:v>
      </x:c>
      <x:c r="G325" s="36" t="str">
        <x:v>challenge</x:v>
      </x:c>
      <x:c r="H325" s="36" t="str">
        <x:v>困难</x:v>
      </x:c>
      <x:c r="I325" s="36" t="str">
        <x:v>01b269ae-2111-4a07-81fd-3fcd711993b0|4de54231-e4b5-49e3-b2ba-61a0bec721c0</x:v>
      </x:c>
      <x:c r="J325" s="36" t="str">
        <x:v>CTX_01b269ae-2111-4a07-81fd-3fcd711993b0|CTX_4de54231-e4b5-49e3-b2ba-61a0bec721c0</x:v>
      </x:c>
      <x:c r="K325" s="36" t="str">
        <x:v>STM_01b269ae-2111-4a07-81fd-3fcd711993b0|STM_4de54231-e4b5-49e3-b2ba-61a0bec721c0</x:v>
      </x:c>
      <x:c r="L325" s="36" t="str"/>
      <x:c r="M325" s="36" t="str"/>
      <x:c r="N325" s="36" t="str">
        <x:v>工作流程</x:v>
      </x:c>
      <x:c r="O325" s="36" t="str">
        <x:v>短期</x:v>
      </x:c>
      <x:c r="P325" s="36" t="str">
        <x:v>["libreoffice_calc"]</x:v>
      </x:c>
      <x:c r="Q325" s="36" t="str">
        <x:v>[{"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x:v>
      </x:c>
      <x:c r="R325" s="36" t="str">
        <x:v>[]</x:v>
      </x:c>
      <x:c r="S325" s="36" t="str">
        <x:v>fill_blank_from_above|fill_acceleration_and_build_combined_data</x:v>
      </x:c>
      <x:c r="T325" s="36" t="str">
        <x:v>Student_Level_Fill_Blank.xlsx|RampUpAndDown.xlsx</x:v>
      </x:c>
      <x:c r="U325" s="36" t="str">
        <x:v>retrieve_and_synthesize</x:v>
      </x:c>
      <x:c r="V325" s="36" t="str">
        <x:v>[{"point_id":"P1","description":"处理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x:v>
      </x:c>
      <x:c r="W325" s="36" t="str">
        <x:v>1.00</x:v>
      </x:c>
      <x:c r="X325" s="39" t="str">
        <x:v>我想一次把这批工作做完：第1件：处理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列，并将其中数值保留两位小数。不同文件的规则别串在一起。</x:v>
      </x:c>
      <x:c r="Y325" s="39" t="str">
        <x:v>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325" s="39" t="str">
        <x:v>不适用：当前题目不存在需要用户进一步选择的候选记忆。</x:v>
      </x:c>
      <x:c r="AA325" s="39" t="str">
        <x:v>不适用：当前题目没有指定需要排除的冲突或禁止记忆。</x:v>
      </x:c>
      <x:c r="AB325" s="39" t="str">
        <x:v>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C325" s="39" t="str">
        <x:v>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325" s="39" t="str">
        <x:v>用户的完整请求是：“我想一次把这批工作做完：第1件：处理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列，并将其中数值保留两位小数。不同文件的规则别串在一起。”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E325" s="39" t="str">
        <x:v>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325" s="50" t="str">
        <x:v>not_pass</x:v>
      </x:c>
      <x:c r="AG325" s="50" t="n">
        <x:v>0</x:v>
      </x:c>
    </x:row>
    <x:row r="326" ht="216" customHeight="1">
      <x:c r="A326" s="35" t="str">
        <x:v>V3_CM23_Q05</x:v>
      </x:c>
      <x:c r="B326" s="36" t="str">
        <x:v>SG_COMP_CM23</x:v>
      </x:c>
      <x:c r="C326" s="36" t="str">
        <x:v>CM23</x:v>
      </x:c>
      <x:c r="D326" s="36" t="str">
        <x:v>空白填充与组合数据</x:v>
      </x:c>
      <x:c r="E326" s="36" t="str">
        <x:v>complementary_multi_memory</x:v>
      </x:c>
      <x:c r="F326" s="36" t="str">
        <x:v>human_constraint_emphasis</x:v>
      </x:c>
      <x:c r="G326" s="36" t="str">
        <x:v>challenge</x:v>
      </x:c>
      <x:c r="H326" s="36" t="str">
        <x:v>困难</x:v>
      </x:c>
      <x:c r="I326" s="36" t="str">
        <x:v>01b269ae-2111-4a07-81fd-3fcd711993b0|4de54231-e4b5-49e3-b2ba-61a0bec721c0</x:v>
      </x:c>
      <x:c r="J326" s="36" t="str">
        <x:v>CTX_01b269ae-2111-4a07-81fd-3fcd711993b0|CTX_4de54231-e4b5-49e3-b2ba-61a0bec721c0</x:v>
      </x:c>
      <x:c r="K326" s="36" t="str">
        <x:v>STM_01b269ae-2111-4a07-81fd-3fcd711993b0|STM_4de54231-e4b5-49e3-b2ba-61a0bec721c0</x:v>
      </x:c>
      <x:c r="L326" s="36" t="str"/>
      <x:c r="M326" s="36" t="str"/>
      <x:c r="N326" s="36" t="str">
        <x:v>工作流程</x:v>
      </x:c>
      <x:c r="O326" s="36" t="str">
        <x:v>短期</x:v>
      </x:c>
      <x:c r="P326" s="36" t="str">
        <x:v>["libreoffice_calc"]</x:v>
      </x:c>
      <x:c r="Q326" s="36" t="str">
        <x:v>[{"step_id":"S1","app":"libreoffice_calc","action_key":"fill_blank_from_above","input_artifacts":["Student_Level_Fill_Blank.xlsx"],"output_artifacts":["Student_Level_Fill_Blank.xlsx"],"depends_on":[]},{"step_id":"S2","app":"libreoffice_calc","action_key":"fill_acceleration_and_build_combined_data","input_artifacts":["RampUpAndDown.xlsx"],"output_artifacts":["RampUpAndDown.xlsx"],"depends_on":[]}]</x:v>
      </x:c>
      <x:c r="R326" s="36" t="str">
        <x:v>[]</x:v>
      </x:c>
      <x:c r="S326" s="36" t="str">
        <x:v>fill_blank_from_above|fill_acceleration_and_build_combined_data</x:v>
      </x:c>
      <x:c r="T326" s="36" t="str">
        <x:v>Student_Level_Fill_Blank.xlsx|RampUpAndDown.xlsx</x:v>
      </x:c>
      <x:c r="U326" s="36" t="str">
        <x:v>retrieve_and_synthesize</x:v>
      </x:c>
      <x:c r="V326" s="36" t="str">
        <x:v>[{"point_id":"P1","description":"处理 Student_Level_Fill_Blank.xlsx 时，将 B1:E30 内的空白单元格填成其上方单元格的值，并保持其他区域不变。","weight":0.45,"evidence_memory_ids":["STM_01b269ae-2111-4a07-81fd-3fcd711993b0"]},{"point_id":"P2","description":"在 RampUpAndDown.xlsx 中根据第 2 行已有加速度公式填充 B、D 两列其余行；再把 A 到 D 列连同表头按“Header: cell value”格式拼接到新建 Combined Data 列，并将其中数值保留两位小数。","weight":0.45,"evidence_memory_ids":["STM_4de54231-e4b5-49e3-b2ba-61a0bec721c0"]},{"point_id":"P3","description":"各文件和各步骤的规则不串用，不增加无来源操作","weight":0.1,"evidence_memory_ids":["STM_01b269ae-2111-4a07-81fd-3fcd711993b0","STM_4de54231-e4b5-49e3-b2ba-61a0bec721c0"]}]</x:v>
      </x:c>
      <x:c r="W326" s="36" t="str">
        <x:v>1.00</x:v>
      </x:c>
      <x:c r="X326" s="39" t="str">
        <x:v>这次按文件分别处理，要求如下：第1件：处理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x:v>
      </x:c>
      <x:c r="Y326" s="39" t="str">
        <x:v>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x:v>
      </x:c>
      <x:c r="Z326" s="39" t="str">
        <x:v>不适用：当前题目不存在需要用户进一步选择的候选记忆。</x:v>
      </x:c>
      <x:c r="AA326" s="39" t="str">
        <x:v>不适用：当前题目没有指定需要排除的冲突或禁止记忆。</x:v>
      </x:c>
      <x:c r="AB326" s="39" t="str">
        <x:v>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C326" s="39" t="str">
        <x:v>第1项实际操作：处理 Student_Level_Fill_Blank.xlsx 时，将 B1:E30 内的空白单元格填成其上方单元格的值，并保持其他区域不变。执行时必须满足：仅处理 B1:E30；不修改其他区域，即使其他区域也为空白。 第2项实际操作：在 RampUpAndDown.xlsx 中根据第 2 行已有加速度公式填充 B、D 两列其余行；再把 A 到 D 列连同表头按“Header: cell value”格式拼接到新建 Combined Data 列，并将其中数值保留两位小数。执行时必须满足：B、D 列按第2行模式填充；Combined Data 包含 A-D 四项及表头；数值保留两位小数。</x:v>
      </x:c>
      <x:c r="AD326" s="39" t="str">
        <x:v>用户的完整请求是：“这次按文件分别处理，要求如下：第1件：处理 Student_Level_Fill_Blank.xlsx 时，将 B1:E30 内的空白单元格填成其上方单元格的值，并保持其他区域不变；第2件：在 RampUpAndDown.xlsx 中根据第 2 行已有加速度公式填充 B、D 两列其余行；再把 A 到 D 列连同表头按“Header: cell value”格式拼接到新建 Combined Data 列，并将其中数值保留两位小数。” 第1个当前上下文：Student_Level_Fill_Blank.xlsx 已在 LibreOffice Calc 中打开。 第2个当前上下文：RampUpAndDown.xlsx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RampUpAndDown.xlsx 中根据第 2 行已有加速度公式填充 B、D 两列其余行；再把 A 到 D 列连同表头按“Header: cell value”格式拼接到新建 Combined Data 列，并将其中数值保留两位小数。每项操作必须分别遵守其对应文件、工作表、范围、格式和输出约束，不能用其中一项替代另一项，也不能把不同文件的规则混用。”</x:v>
      </x:c>
      <x:c r="AE326" s="39" t="str">
        <x:v>本题总分为 1.00 分，各得分点独立累计，允许语义等价表达，不要求模型输出记忆 ID，也不要求逐字复述记忆原文。
第1个得分点（0.45分）：处理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第2个得分点（0.45分）：在 RampUpAndDown.xlsx 中根据第 2 行已有加速度公式填充 B、D 两列其余行；再把 A 到 D 列连同表头按“Header: cell value”格式拼接到新建 Combined Data 列，并将其中数值保留两位小数。该得分点所依据的完整证据为：
第1条记忆（短期/工作流程）：在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第3个得分点（0.10分）：各文件和各步骤的规则不串用，不增加无来源操作。该得分点所依据的完整证据为：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第2条记忆（短期/工作流程）：在 RampUpAndDown.xlsx 中根据第 2 行已有加速度公式填充 B、D 两列其余行；再把 A 到 D 列连同表头按“Header: cell value”格式拼接到新建 Combined Data 列，并将其中数值保留两位小数。关键约束：B、D 列按第2行模式填充；Combined Data 包含 A-D 四项及表头；数值保留两位小数。
人工复审时，应依据模型最终给出的信息和实际操作是否满足上述每个得分点分别给分；只命中记忆 ID 但没有形成对应结论不能获得该结论分，形成了正确结论但表达方式不同则不应扣分。</x:v>
      </x:c>
      <x:c r="AF326" s="50" t="str">
        <x:v>not_pass</x:v>
      </x:c>
      <x:c r="AG326" s="50" t="n">
        <x:v>0</x:v>
      </x:c>
    </x:row>
    <x:row r="327" ht="216" customHeight="1">
      <x:c r="A327" s="35" t="str">
        <x:v>V3_CM24_Q01</x:v>
      </x:c>
      <x:c r="B327" s="36" t="str">
        <x:v>SG_COMP_CM24</x:v>
      </x:c>
      <x:c r="C327" s="36" t="str">
        <x:v>CM24</x:v>
      </x:c>
      <x:c r="D327" s="36" t="str">
        <x:v>人口统计与学生评定</x:v>
      </x:c>
      <x:c r="E327" s="36" t="str">
        <x:v>complementary_multi_memory</x:v>
      </x:c>
      <x:c r="F327" s="36" t="str">
        <x:v>human_context_explicit</x:v>
      </x:c>
      <x:c r="G327" s="36" t="str">
        <x:v>challenge</x:v>
      </x:c>
      <x:c r="H327" s="36" t="str">
        <x:v>困难</x:v>
      </x:c>
      <x:c r="I327" s="36" t="str">
        <x:v>30e3e107-1cfb-46ee-a755-2cd080d7ba6a|d681960f-7bc3-4286-9913-a8812ba3261a</x:v>
      </x:c>
      <x:c r="J327" s="36" t="str">
        <x:v>CTX_30e3e107-1cfb-46ee-a755-2cd080d7ba6a|CTX_d681960f-7bc3-4286-9913-a8812ba3261a</x:v>
      </x:c>
      <x:c r="K327" s="36" t="str">
        <x:v>STM_30e3e107-1cfb-46ee-a755-2cd080d7ba6a|MTM_d681960f-7bc3-4286-9913-a8812ba3261a</x:v>
      </x:c>
      <x:c r="L327" s="36" t="str"/>
      <x:c r="M327" s="36" t="str"/>
      <x:c r="N327" s="36" t="str">
        <x:v>工作流程|知识</x:v>
      </x:c>
      <x:c r="O327" s="36" t="str">
        <x:v>短期|中期</x:v>
      </x:c>
      <x:c r="P327" s="36" t="str">
        <x:v>["libreoffice_calc"]</x:v>
      </x:c>
      <x:c r="Q327" s="36" t="str">
        <x:v>[{"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x:v>
      </x:c>
      <x:c r="R327" s="36" t="str">
        <x:v>[]</x:v>
      </x:c>
      <x:c r="S327" s="36" t="str">
        <x:v>build_demographic_profile_pivots|assign_student_grades_from_scale</x:v>
      </x:c>
      <x:c r="T327" s="36" t="str">
        <x:v>DemographicProfile.xlsx|Student_Grades_and_Remarks.xlsx</x:v>
      </x:c>
      <x:c r="U327" s="36" t="str">
        <x:v>retrieve_and_synthesize</x:v>
      </x:c>
      <x:c r="V327" s="36" t="str">
        <x:v>[{"point_id":"P1","description":"在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x:v>
      </x:c>
      <x:c r="W327" s="36" t="str">
        <x:v>1.00</x:v>
      </x:c>
      <x:c r="X327" s="39" t="str">
        <x:v>我今天要一起处理这批表。先做第1件事：在 DemographicProfile.xlsx 新建 Sheet2，合并 A1:C1 写入 Demographic Profile，设置蓝色填充和白色粗体；随后依次创建 Sex、Civil Status、Highest Educational Attainment 三张百分比数据透视表，表间留一空行；再做第2件事：在 Student_Grades_and_Remarks.xlsx 中依据上方的评分尺度表，为下方每位学生计算并填写对应等级。都按各自原来的规则完成。</x:v>
      </x:c>
      <x:c r="Y327"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x:v>
      </x:c>
      <x:c r="Z327" s="39" t="str">
        <x:v>不适用：当前题目不存在需要用户进一步选择的候选记忆。</x:v>
      </x:c>
      <x:c r="AA327" s="39" t="str">
        <x:v>不适用：当前题目没有指定需要排除的冲突或禁止记忆。</x:v>
      </x:c>
      <x:c r="AB327" s="39" t="str">
        <x:v>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27"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x:v>
      </x:c>
      <x:c r="AD327" s="39" t="str">
        <x:v>用户的完整请求是：“我今天要一起处理这批表。先做第1件事：在 DemographicProfile.xlsx 新建 Sheet2，合并 A1:C1 写入 Demographic Profile，设置蓝色填充和白色粗体；随后依次创建 Sex、Civil Status、Highest Educational Attainment 三张百分比数据透视表，表间留一空行；再做第2件事：在 Student_Grades_and_Remarks.xlsx 中依据上方的评分尺度表，为下方每位学生计算并填写对应等级。都按各自原来的规则完成。”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27" s="39" t="str">
        <x:v>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27" s="50" t="str">
        <x:v>not_pass</x:v>
      </x:c>
      <x:c r="AG327" s="50" t="n">
        <x:v>0</x:v>
      </x:c>
    </x:row>
    <x:row r="328" ht="216" customHeight="1">
      <x:c r="A328" s="35" t="str">
        <x:v>V3_CM24_Q02</x:v>
      </x:c>
      <x:c r="B328" s="36" t="str">
        <x:v>SG_COMP_CM24</x:v>
      </x:c>
      <x:c r="C328" s="36" t="str">
        <x:v>CM24</x:v>
      </x:c>
      <x:c r="D328" s="36" t="str">
        <x:v>人口统计与学生评定</x:v>
      </x:c>
      <x:c r="E328" s="36" t="str">
        <x:v>complementary_multi_memory</x:v>
      </x:c>
      <x:c r="F328" s="36" t="str">
        <x:v>human_goal_oriented</x:v>
      </x:c>
      <x:c r="G328" s="36" t="str">
        <x:v>challenge</x:v>
      </x:c>
      <x:c r="H328" s="36" t="str">
        <x:v>困难</x:v>
      </x:c>
      <x:c r="I328" s="36" t="str">
        <x:v>30e3e107-1cfb-46ee-a755-2cd080d7ba6a|d681960f-7bc3-4286-9913-a8812ba3261a</x:v>
      </x:c>
      <x:c r="J328" s="36" t="str">
        <x:v>CTX_30e3e107-1cfb-46ee-a755-2cd080d7ba6a|CTX_d681960f-7bc3-4286-9913-a8812ba3261a</x:v>
      </x:c>
      <x:c r="K328" s="36" t="str">
        <x:v>STM_30e3e107-1cfb-46ee-a755-2cd080d7ba6a|MTM_d681960f-7bc3-4286-9913-a8812ba3261a</x:v>
      </x:c>
      <x:c r="L328" s="36" t="str"/>
      <x:c r="M328" s="36" t="str"/>
      <x:c r="N328" s="36" t="str">
        <x:v>工作流程|知识</x:v>
      </x:c>
      <x:c r="O328" s="36" t="str">
        <x:v>短期|中期</x:v>
      </x:c>
      <x:c r="P328" s="36" t="str">
        <x:v>["libreoffice_calc"]</x:v>
      </x:c>
      <x:c r="Q328" s="36" t="str">
        <x:v>[{"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x:v>
      </x:c>
      <x:c r="R328" s="36" t="str">
        <x:v>[]</x:v>
      </x:c>
      <x:c r="S328" s="36" t="str">
        <x:v>build_demographic_profile_pivots|assign_student_grades_from_scale</x:v>
      </x:c>
      <x:c r="T328" s="36" t="str">
        <x:v>DemographicProfile.xlsx|Student_Grades_and_Remarks.xlsx</x:v>
      </x:c>
      <x:c r="U328" s="36" t="str">
        <x:v>retrieve_and_synthesize</x:v>
      </x:c>
      <x:c r="V328" s="36" t="str">
        <x:v>[{"point_id":"P1","description":"在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x:v>
      </x:c>
      <x:c r="W328" s="36" t="str">
        <x:v>1.00</x:v>
      </x:c>
      <x:c r="X328" s="39" t="str">
        <x:v>这批文件马上要交付，帮我把几项工作一起收尾：第1件：在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x:v>
      </x:c>
      <x:c r="Y328"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x:v>
      </x:c>
      <x:c r="Z328" s="39" t="str">
        <x:v>不适用：当前题目不存在需要用户进一步选择的候选记忆。</x:v>
      </x:c>
      <x:c r="AA328" s="39" t="str">
        <x:v>不适用：当前题目没有指定需要排除的冲突或禁止记忆。</x:v>
      </x:c>
      <x:c r="AB328" s="39" t="str">
        <x:v>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28"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x:v>
      </x:c>
      <x:c r="AD328" s="39" t="str">
        <x:v>用户的完整请求是：“这批文件马上要交付，帮我把几项工作一起收尾：第1件：在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28" s="39" t="str">
        <x:v>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28" s="50" t="str">
        <x:v>not_pass</x:v>
      </x:c>
      <x:c r="AG328" s="50" t="n">
        <x:v>0</x:v>
      </x:c>
    </x:row>
    <x:row r="329" ht="216" customHeight="1">
      <x:c r="A329" s="35" t="str">
        <x:v>V3_CM24_Q03</x:v>
      </x:c>
      <x:c r="B329" s="36" t="str">
        <x:v>SG_COMP_CM24</x:v>
      </x:c>
      <x:c r="C329" s="36" t="str">
        <x:v>CM24</x:v>
      </x:c>
      <x:c r="D329" s="36" t="str">
        <x:v>人口统计与学生评定</x:v>
      </x:c>
      <x:c r="E329" s="36" t="str">
        <x:v>complementary_multi_memory</x:v>
      </x:c>
      <x:c r="F329" s="36" t="str">
        <x:v>contextual_ellipsis</x:v>
      </x:c>
      <x:c r="G329" s="36" t="str">
        <x:v>challenge</x:v>
      </x:c>
      <x:c r="H329" s="36" t="str">
        <x:v>困难</x:v>
      </x:c>
      <x:c r="I329" s="36" t="str">
        <x:v>30e3e107-1cfb-46ee-a755-2cd080d7ba6a|d681960f-7bc3-4286-9913-a8812ba3261a</x:v>
      </x:c>
      <x:c r="J329" s="36" t="str">
        <x:v>CTX_30e3e107-1cfb-46ee-a755-2cd080d7ba6a|CTX_d681960f-7bc3-4286-9913-a8812ba3261a</x:v>
      </x:c>
      <x:c r="K329" s="36" t="str">
        <x:v>STM_30e3e107-1cfb-46ee-a755-2cd080d7ba6a|MTM_d681960f-7bc3-4286-9913-a8812ba3261a</x:v>
      </x:c>
      <x:c r="L329" s="36" t="str"/>
      <x:c r="M329" s="36" t="str"/>
      <x:c r="N329" s="36" t="str">
        <x:v>工作流程|知识</x:v>
      </x:c>
      <x:c r="O329" s="36" t="str">
        <x:v>短期|中期</x:v>
      </x:c>
      <x:c r="P329" s="36" t="str">
        <x:v>["libreoffice_calc"]</x:v>
      </x:c>
      <x:c r="Q329" s="36" t="str">
        <x:v>[{"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x:v>
      </x:c>
      <x:c r="R329" s="36" t="str">
        <x:v>[]</x:v>
      </x:c>
      <x:c r="S329" s="36" t="str">
        <x:v>build_demographic_profile_pivots|assign_student_grades_from_scale</x:v>
      </x:c>
      <x:c r="T329" s="36" t="str">
        <x:v>DemographicProfile.xlsx|Student_Grades_and_Remarks.xlsx</x:v>
      </x:c>
      <x:c r="U329" s="36" t="str">
        <x:v>retrieve_and_synthesize</x:v>
      </x:c>
      <x:c r="V329" s="36" t="str">
        <x:v>[{"point_id":"P1","description":"在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x:v>
      </x:c>
      <x:c r="W329" s="36" t="str">
        <x:v>1.00</x:v>
      </x:c>
      <x:c r="X329" s="39" t="str">
        <x:v>相关工作表我都打开了，接着分别处理：第1件：在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x:v>
      </x:c>
      <x:c r="Y329"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x:v>
      </x:c>
      <x:c r="Z329" s="39" t="str">
        <x:v>不适用：当前题目不存在需要用户进一步选择的候选记忆。</x:v>
      </x:c>
      <x:c r="AA329" s="39" t="str">
        <x:v>不适用：当前题目没有指定需要排除的冲突或禁止记忆。</x:v>
      </x:c>
      <x:c r="AB329" s="39" t="str">
        <x:v>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29"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x:v>
      </x:c>
      <x:c r="AD329" s="39" t="str">
        <x:v>用户的完整请求是：“相关工作表我都打开了，接着分别处理：第1件：在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29" s="39" t="str">
        <x:v>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29" s="50" t="str">
        <x:v>not_pass</x:v>
      </x:c>
      <x:c r="AG329" s="50" t="n">
        <x:v>0</x:v>
      </x:c>
    </x:row>
    <x:row r="330" ht="216" customHeight="1">
      <x:c r="A330" s="35" t="str">
        <x:v>V3_CM24_Q04</x:v>
      </x:c>
      <x:c r="B330" s="36" t="str">
        <x:v>SG_COMP_CM24</x:v>
      </x:c>
      <x:c r="C330" s="36" t="str">
        <x:v>CM24</x:v>
      </x:c>
      <x:c r="D330" s="36" t="str">
        <x:v>人口统计与学生评定</x:v>
      </x:c>
      <x:c r="E330" s="36" t="str">
        <x:v>complementary_multi_memory</x:v>
      </x:c>
      <x:c r="F330" s="36" t="str">
        <x:v>low_overlap_paraphrase</x:v>
      </x:c>
      <x:c r="G330" s="36" t="str">
        <x:v>challenge</x:v>
      </x:c>
      <x:c r="H330" s="36" t="str">
        <x:v>困难</x:v>
      </x:c>
      <x:c r="I330" s="36" t="str">
        <x:v>30e3e107-1cfb-46ee-a755-2cd080d7ba6a|d681960f-7bc3-4286-9913-a8812ba3261a</x:v>
      </x:c>
      <x:c r="J330" s="36" t="str">
        <x:v>CTX_30e3e107-1cfb-46ee-a755-2cd080d7ba6a|CTX_d681960f-7bc3-4286-9913-a8812ba3261a</x:v>
      </x:c>
      <x:c r="K330" s="36" t="str">
        <x:v>STM_30e3e107-1cfb-46ee-a755-2cd080d7ba6a|MTM_d681960f-7bc3-4286-9913-a8812ba3261a</x:v>
      </x:c>
      <x:c r="L330" s="36" t="str"/>
      <x:c r="M330" s="36" t="str"/>
      <x:c r="N330" s="36" t="str">
        <x:v>工作流程|知识</x:v>
      </x:c>
      <x:c r="O330" s="36" t="str">
        <x:v>短期|中期</x:v>
      </x:c>
      <x:c r="P330" s="36" t="str">
        <x:v>["libreoffice_calc"]</x:v>
      </x:c>
      <x:c r="Q330" s="36" t="str">
        <x:v>[{"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x:v>
      </x:c>
      <x:c r="R330" s="36" t="str">
        <x:v>[]</x:v>
      </x:c>
      <x:c r="S330" s="36" t="str">
        <x:v>build_demographic_profile_pivots|assign_student_grades_from_scale</x:v>
      </x:c>
      <x:c r="T330" s="36" t="str">
        <x:v>DemographicProfile.xlsx|Student_Grades_and_Remarks.xlsx</x:v>
      </x:c>
      <x:c r="U330" s="36" t="str">
        <x:v>retrieve_and_synthesize</x:v>
      </x:c>
      <x:c r="V330" s="36" t="str">
        <x:v>[{"point_id":"P1","description":"在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x:v>
      </x:c>
      <x:c r="W330" s="36" t="str">
        <x:v>1.00</x:v>
      </x:c>
      <x:c r="X330" s="39" t="str">
        <x:v>我想一次把这批工作做完：第1件：在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中依据上方的评分尺度表，为下方每位学生计算并填写对应等级。不同文件的规则别串在一起。</x:v>
      </x:c>
      <x:c r="Y330"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x:v>
      </x:c>
      <x:c r="Z330" s="39" t="str">
        <x:v>不适用：当前题目不存在需要用户进一步选择的候选记忆。</x:v>
      </x:c>
      <x:c r="AA330" s="39" t="str">
        <x:v>不适用：当前题目没有指定需要排除的冲突或禁止记忆。</x:v>
      </x:c>
      <x:c r="AB330" s="39" t="str">
        <x:v>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30"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x:v>
      </x:c>
      <x:c r="AD330" s="39" t="str">
        <x:v>用户的完整请求是：“我想一次把这批工作做完：第1件：在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中依据上方的评分尺度表，为下方每位学生计算并填写对应等级。不同文件的规则别串在一起。”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30" s="39" t="str">
        <x:v>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30" s="50" t="str">
        <x:v>not_pass</x:v>
      </x:c>
      <x:c r="AG330" s="50" t="n">
        <x:v>0</x:v>
      </x:c>
    </x:row>
    <x:row r="331" ht="216" customHeight="1">
      <x:c r="A331" s="35" t="str">
        <x:v>V3_CM24_Q05</x:v>
      </x:c>
      <x:c r="B331" s="36" t="str">
        <x:v>SG_COMP_CM24</x:v>
      </x:c>
      <x:c r="C331" s="36" t="str">
        <x:v>CM24</x:v>
      </x:c>
      <x:c r="D331" s="36" t="str">
        <x:v>人口统计与学生评定</x:v>
      </x:c>
      <x:c r="E331" s="36" t="str">
        <x:v>complementary_multi_memory</x:v>
      </x:c>
      <x:c r="F331" s="36" t="str">
        <x:v>human_constraint_emphasis</x:v>
      </x:c>
      <x:c r="G331" s="36" t="str">
        <x:v>challenge</x:v>
      </x:c>
      <x:c r="H331" s="36" t="str">
        <x:v>困难</x:v>
      </x:c>
      <x:c r="I331" s="36" t="str">
        <x:v>30e3e107-1cfb-46ee-a755-2cd080d7ba6a|d681960f-7bc3-4286-9913-a8812ba3261a</x:v>
      </x:c>
      <x:c r="J331" s="36" t="str">
        <x:v>CTX_30e3e107-1cfb-46ee-a755-2cd080d7ba6a|CTX_d681960f-7bc3-4286-9913-a8812ba3261a</x:v>
      </x:c>
      <x:c r="K331" s="36" t="str">
        <x:v>STM_30e3e107-1cfb-46ee-a755-2cd080d7ba6a|MTM_d681960f-7bc3-4286-9913-a8812ba3261a</x:v>
      </x:c>
      <x:c r="L331" s="36" t="str"/>
      <x:c r="M331" s="36" t="str"/>
      <x:c r="N331" s="36" t="str">
        <x:v>工作流程|知识</x:v>
      </x:c>
      <x:c r="O331" s="36" t="str">
        <x:v>短期|中期</x:v>
      </x:c>
      <x:c r="P331" s="36" t="str">
        <x:v>["libreoffice_calc"]</x:v>
      </x:c>
      <x:c r="Q331" s="36" t="str">
        <x:v>[{"step_id":"S1","app":"libreoffice_calc","action_key":"build_demographic_profile_pivots","input_artifacts":["DemographicProfile.xlsx"],"output_artifacts":["DemographicProfile.xlsx"],"depends_on":[]},{"step_id":"S2","app":"libreoffice_calc","action_key":"assign_student_grades_from_scale","input_artifacts":["Student_Grades_and_Remarks.xlsx"],"output_artifacts":["Student_Grades_and_Remarks.xlsx"],"depends_on":[]}]</x:v>
      </x:c>
      <x:c r="R331" s="36" t="str">
        <x:v>[]</x:v>
      </x:c>
      <x:c r="S331" s="36" t="str">
        <x:v>build_demographic_profile_pivots|assign_student_grades_from_scale</x:v>
      </x:c>
      <x:c r="T331" s="36" t="str">
        <x:v>DemographicProfile.xlsx|Student_Grades_and_Remarks.xlsx</x:v>
      </x:c>
      <x:c r="U331" s="36" t="str">
        <x:v>retrieve_and_synthesize</x:v>
      </x:c>
      <x:c r="V331" s="36" t="str">
        <x:v>[{"point_id":"P1","description":"在 DemographicProfile.xlsx 新建 Sheet2，合并 A1:C1 写入 Demographic Profile，设置蓝色填充和白色粗体；随后依次创建 Sex、Civil Status、Highest Educational Attainment 三张百分比数据透视表，表间留一空行。","weight":0.45,"evidence_memory_ids":["STM_30e3e107-1cfb-46ee-a755-2cd080d7ba6a"]},{"point_id":"P2","description":"在 Student_Grades_and_Remarks.xlsx 中依据上方的评分尺度表，为下方每位学生计算并填写对应等级。","weight":0.45,"evidence_memory_ids":["MTM_d681960f-7bc3-4286-9913-a8812ba3261a"]},{"point_id":"P3","description":"各文件和各步骤的规则不串用，不增加无来源操作","weight":0.1,"evidence_memory_ids":["STM_30e3e107-1cfb-46ee-a755-2cd080d7ba6a","MTM_d681960f-7bc3-4286-9913-a8812ba3261a"]}]</x:v>
      </x:c>
      <x:c r="W331" s="36" t="str">
        <x:v>1.00</x:v>
      </x:c>
      <x:c r="X331" s="39" t="str">
        <x:v>这次按文件分别处理，要求如下：第1件：在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x:v>
      </x:c>
      <x:c r="Y331" s="39" t="str">
        <x:v>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x:v>
      </x:c>
      <x:c r="Z331" s="39" t="str">
        <x:v>不适用：当前题目不存在需要用户进一步选择的候选记忆。</x:v>
      </x:c>
      <x:c r="AA331" s="39" t="str">
        <x:v>不适用：当前题目没有指定需要排除的冲突或禁止记忆。</x:v>
      </x:c>
      <x:c r="AB331" s="39" t="str">
        <x:v>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C331" s="39" t="str">
        <x:v>第1项实际操作：在 DemographicProfile.xlsx 新建 Sheet2，合并 A1:C1 写入 Demographic Profile，设置蓝色填充和白色粗体；随后依次创建 Sex、Civil Status、Highest Educational Attainment 三张百分比数据透视表，表间留一空行。执行时必须满足：标题格式为蓝底白色粗体；三张透视表按指定顺序纵向排列；每表间隔一空行。 第2项实际操作：在 Student_Grades_and_Remarks.xlsx 中依据上方的评分尺度表，为下方每位学生计算并填写对应等级。执行时必须满足：严格使用现有 scale table；覆盖所有学生；不修改无关区域。</x:v>
      </x:c>
      <x:c r="AD331" s="39" t="str">
        <x:v>用户的完整请求是：“这次按文件分别处理，要求如下：第1件：在 DemographicProfile.xlsx 新建 Sheet2，合并 A1:C1 写入 Demographic Profile，设置蓝色填充和白色粗体；随后依次创建 Sex、Civil Status、Highest Educational Attainment 三张百分比数据透视表，表间留一空行；第2件：在 Student_Grades_and_Remarks.xlsx 中依据上方的评分尺度表，为下方每位学生计算并填写对应等级。” 第1个当前上下文：DemographicProfile.xlsx 已在 LibreOffice Calc 中打开。 第2个当前上下文：Student_Grades_and_Remarks.xlsx 已在 LibreOffice Calc 中打开。 当前请求要求在同一轮工作中得到多个结果。能够支持这些结果的完整必需记忆如下：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DemographicProfile.xlsx 新建 Sheet2，合并 A1:C1 写入 Demographic Profile，设置蓝色填充和白色粗体；随后依次创建 Sex、Civil Status、Highest Educational Attainment 三张百分比数据透视表，表间留一空行；2）在 Student_Grades_and_Remarks.xlsx 中依据上方的评分尺度表，为下方每位学生计算并填写对应等级。每项操作必须分别遵守其对应文件、工作表、范围、格式和输出约束，不能用其中一项替代另一项，也不能把不同文件的规则混用。”</x:v>
      </x:c>
      <x:c r="AE331" s="39" t="str">
        <x:v>本题总分为 1.00 分，各得分点独立累计，允许语义等价表达，不要求模型输出记忆 ID，也不要求逐字复述记忆原文。
第1个得分点（0.45分）：在 DemographicProfile.xlsx 新建 Sheet2，合并 A1:C1 写入 Demographic Profile，设置蓝色填充和白色粗体；随后依次创建 Sex、Civil Status、Highest Educational Attainment 三张百分比数据透视表，表间留一空行。该得分点所依据的完整证据为：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第2个得分点（0.45分）：在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第3个得分点（0.10分）：各文件和各步骤的规则不串用，不增加无来源操作。该得分点所依据的完整证据为：
第1条记忆（短期/工作流程）：在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第2条记忆（中期/知识）：在 Student_Grades_and_Remarks.xlsx 中依据上方的评分尺度表，为下方每位学生计算并填写对应等级。关键约束：严格使用现有 scale table；覆盖所有学生；不修改无关区域。
人工复审时，应依据模型最终给出的信息和实际操作是否满足上述每个得分点分别给分；只命中记忆 ID 但没有形成对应结论不能获得该结论分，形成了正确结论但表达方式不同则不应扣分。</x:v>
      </x:c>
      <x:c r="AF331" s="50" t="str">
        <x:v>not_pass</x:v>
      </x:c>
      <x:c r="AG331" s="50" t="n">
        <x:v>0</x:v>
      </x:c>
    </x:row>
    <x:row r="332" ht="202.5" customHeight="1">
      <x:c r="A332" s="35" t="str">
        <x:v>V3_CM25_Q01</x:v>
      </x:c>
      <x:c r="B332" s="36" t="str">
        <x:v>SG_COMP_CM25</x:v>
      </x:c>
      <x:c r="C332" s="36" t="str">
        <x:v>CM25</x:v>
      </x:c>
      <x:c r="D332" s="36" t="str">
        <x:v>两类产品收入透视分析</x:v>
      </x:c>
      <x:c r="E332" s="36" t="str">
        <x:v>complementary_multi_memory</x:v>
      </x:c>
      <x:c r="F332" s="36" t="str">
        <x:v>human_context_explicit</x:v>
      </x:c>
      <x:c r="G332" s="36" t="str">
        <x:v>challenge</x:v>
      </x:c>
      <x:c r="H332" s="36" t="str">
        <x:v>困难</x:v>
      </x:c>
      <x:c r="I332" s="36" t="str">
        <x:v>51719eea-10bc-4246-a428-ac7c433dd4b3|535364ea-05bd-46ea-9937-9f55c68507e8</x:v>
      </x:c>
      <x:c r="J332" s="36" t="str">
        <x:v>CTX_51719eea-10bc-4246-a428-ac7c433dd4b3|CTX_535364ea-05bd-46ea-9937-9f55c68507e8</x:v>
      </x:c>
      <x:c r="K332" s="36" t="str">
        <x:v>STM_51719eea-10bc-4246-a428-ac7c433dd4b3|LTM_535364ea-05bd-46ea-9937-9f55c68507e8</x:v>
      </x:c>
      <x:c r="L332" s="36" t="str"/>
      <x:c r="M332" s="36" t="str"/>
      <x:c r="N332" s="36" t="str">
        <x:v>工作流程|可复用模板</x:v>
      </x:c>
      <x:c r="O332" s="36" t="str">
        <x:v>短期|长期</x:v>
      </x:c>
      <x:c r="P332" s="36" t="str">
        <x:v>["libreoffice_calc"]</x:v>
      </x:c>
      <x:c r="Q332" s="36" t="str">
        <x:v>[{"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x:v>
      </x:c>
      <x:c r="R332" s="36" t="str">
        <x:v>[]</x:v>
      </x:c>
      <x:c r="S332" s="36" t="str">
        <x:v>calculate_revenue_and_create_product_pivot|create_product_and_channel_revenue_pivots</x:v>
      </x:c>
      <x:c r="T332" s="36" t="str">
        <x:v>BoomerangSales.xlsx|SummerSales.xlsx</x:v>
      </x:c>
      <x:c r="U332" s="36" t="str">
        <x:v>retrieve_and_synthesize</x:v>
      </x:c>
      <x:c r="V332" s="36" t="str">
        <x:v>[{"point_id":"P1","description":"在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x:v>
      </x:c>
      <x:c r="W332" s="36" t="str">
        <x:v>1.00</x:v>
      </x:c>
      <x:c r="X332" s="39" t="str">
        <x:v>我今天要一起处理这批表。先做第1件事：在 BoomerangSales.xlsx 中依据 Retail Price 表的产品价格，并结合数量和折扣计算 Revenue 新列；随后在 Sheet2 创建按产品汇总收入的数据透视表；再做第2件事：在 SummerSales.xlsx 新建 Sheet2，创建两张数据透视表，分别汇总每种产品的总收入和每个销售渠道的总收入。都按各自原来的规则完成。</x:v>
      </x:c>
      <x:c r="Y332"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x:v>
      </x:c>
      <x:c r="Z332" s="39" t="str">
        <x:v>不适用：当前题目不存在需要用户进一步选择的候选记忆。</x:v>
      </x:c>
      <x:c r="AA332" s="39" t="str">
        <x:v>不适用：当前题目没有指定需要排除的冲突或禁止记忆。</x:v>
      </x:c>
      <x:c r="AB332" s="39" t="str">
        <x:v>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332"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x:v>
      </x:c>
      <x:c r="AD332" s="39" t="str">
        <x:v>用户的完整请求是：“我今天要一起处理这批表。先做第1件事：在 BoomerangSales.xlsx 中依据 Retail Price 表的产品价格，并结合数量和折扣计算 Revenue 新列；随后在 Sheet2 创建按产品汇总收入的数据透视表；再做第2件事：在 SummerSales.xlsx 新建 Sheet2，创建两张数据透视表，分别汇总每种产品的总收入和每个销售渠道的总收入。都按各自原来的规则完成。”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332" s="39" t="str">
        <x:v>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332" s="50" t="str">
        <x:v>not_pass</x:v>
      </x:c>
      <x:c r="AG332" s="50" t="n">
        <x:v>0</x:v>
      </x:c>
    </x:row>
    <x:row r="333" ht="202.5" customHeight="1">
      <x:c r="A333" s="35" t="str">
        <x:v>V3_CM25_Q02</x:v>
      </x:c>
      <x:c r="B333" s="36" t="str">
        <x:v>SG_COMP_CM25</x:v>
      </x:c>
      <x:c r="C333" s="36" t="str">
        <x:v>CM25</x:v>
      </x:c>
      <x:c r="D333" s="36" t="str">
        <x:v>两类产品收入透视分析</x:v>
      </x:c>
      <x:c r="E333" s="36" t="str">
        <x:v>complementary_multi_memory</x:v>
      </x:c>
      <x:c r="F333" s="36" t="str">
        <x:v>human_goal_oriented</x:v>
      </x:c>
      <x:c r="G333" s="36" t="str">
        <x:v>challenge</x:v>
      </x:c>
      <x:c r="H333" s="36" t="str">
        <x:v>困难</x:v>
      </x:c>
      <x:c r="I333" s="36" t="str">
        <x:v>51719eea-10bc-4246-a428-ac7c433dd4b3|535364ea-05bd-46ea-9937-9f55c68507e8</x:v>
      </x:c>
      <x:c r="J333" s="36" t="str">
        <x:v>CTX_51719eea-10bc-4246-a428-ac7c433dd4b3|CTX_535364ea-05bd-46ea-9937-9f55c68507e8</x:v>
      </x:c>
      <x:c r="K333" s="36" t="str">
        <x:v>STM_51719eea-10bc-4246-a428-ac7c433dd4b3|LTM_535364ea-05bd-46ea-9937-9f55c68507e8</x:v>
      </x:c>
      <x:c r="L333" s="36" t="str"/>
      <x:c r="M333" s="36" t="str"/>
      <x:c r="N333" s="36" t="str">
        <x:v>工作流程|可复用模板</x:v>
      </x:c>
      <x:c r="O333" s="36" t="str">
        <x:v>短期|长期</x:v>
      </x:c>
      <x:c r="P333" s="36" t="str">
        <x:v>["libreoffice_calc"]</x:v>
      </x:c>
      <x:c r="Q333" s="36" t="str">
        <x:v>[{"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x:v>
      </x:c>
      <x:c r="R333" s="36" t="str">
        <x:v>[]</x:v>
      </x:c>
      <x:c r="S333" s="36" t="str">
        <x:v>calculate_revenue_and_create_product_pivot|create_product_and_channel_revenue_pivots</x:v>
      </x:c>
      <x:c r="T333" s="36" t="str">
        <x:v>BoomerangSales.xlsx|SummerSales.xlsx</x:v>
      </x:c>
      <x:c r="U333" s="36" t="str">
        <x:v>retrieve_and_synthesize</x:v>
      </x:c>
      <x:c r="V333" s="36" t="str">
        <x:v>[{"point_id":"P1","description":"在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x:v>
      </x:c>
      <x:c r="W333" s="36" t="str">
        <x:v>1.00</x:v>
      </x:c>
      <x:c r="X333" s="39" t="str">
        <x:v>这批文件马上要交付，帮我把几项工作一起收尾：第1件：在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x:v>
      </x:c>
      <x:c r="Y333"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x:v>
      </x:c>
      <x:c r="Z333" s="39" t="str">
        <x:v>不适用：当前题目不存在需要用户进一步选择的候选记忆。</x:v>
      </x:c>
      <x:c r="AA333" s="39" t="str">
        <x:v>不适用：当前题目没有指定需要排除的冲突或禁止记忆。</x:v>
      </x:c>
      <x:c r="AB333" s="39" t="str">
        <x:v>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333"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x:v>
      </x:c>
      <x:c r="AD333" s="39" t="str">
        <x:v>用户的完整请求是：“这批文件马上要交付，帮我把几项工作一起收尾：第1件：在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333" s="39" t="str">
        <x:v>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333" s="50" t="str">
        <x:v>not_pass</x:v>
      </x:c>
      <x:c r="AG333" s="50" t="n">
        <x:v>0</x:v>
      </x:c>
    </x:row>
    <x:row r="334" ht="202.5" customHeight="1">
      <x:c r="A334" s="35" t="str">
        <x:v>V3_CM25_Q03</x:v>
      </x:c>
      <x:c r="B334" s="36" t="str">
        <x:v>SG_COMP_CM25</x:v>
      </x:c>
      <x:c r="C334" s="36" t="str">
        <x:v>CM25</x:v>
      </x:c>
      <x:c r="D334" s="36" t="str">
        <x:v>两类产品收入透视分析</x:v>
      </x:c>
      <x:c r="E334" s="36" t="str">
        <x:v>complementary_multi_memory</x:v>
      </x:c>
      <x:c r="F334" s="36" t="str">
        <x:v>contextual_ellipsis</x:v>
      </x:c>
      <x:c r="G334" s="36" t="str">
        <x:v>challenge</x:v>
      </x:c>
      <x:c r="H334" s="36" t="str">
        <x:v>困难</x:v>
      </x:c>
      <x:c r="I334" s="36" t="str">
        <x:v>51719eea-10bc-4246-a428-ac7c433dd4b3|535364ea-05bd-46ea-9937-9f55c68507e8</x:v>
      </x:c>
      <x:c r="J334" s="36" t="str">
        <x:v>CTX_51719eea-10bc-4246-a428-ac7c433dd4b3|CTX_535364ea-05bd-46ea-9937-9f55c68507e8</x:v>
      </x:c>
      <x:c r="K334" s="36" t="str">
        <x:v>STM_51719eea-10bc-4246-a428-ac7c433dd4b3|LTM_535364ea-05bd-46ea-9937-9f55c68507e8</x:v>
      </x:c>
      <x:c r="L334" s="36" t="str"/>
      <x:c r="M334" s="36" t="str"/>
      <x:c r="N334" s="36" t="str">
        <x:v>工作流程|可复用模板</x:v>
      </x:c>
      <x:c r="O334" s="36" t="str">
        <x:v>短期|长期</x:v>
      </x:c>
      <x:c r="P334" s="36" t="str">
        <x:v>["libreoffice_calc"]</x:v>
      </x:c>
      <x:c r="Q334" s="36" t="str">
        <x:v>[{"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x:v>
      </x:c>
      <x:c r="R334" s="36" t="str">
        <x:v>[]</x:v>
      </x:c>
      <x:c r="S334" s="36" t="str">
        <x:v>calculate_revenue_and_create_product_pivot|create_product_and_channel_revenue_pivots</x:v>
      </x:c>
      <x:c r="T334" s="36" t="str">
        <x:v>BoomerangSales.xlsx|SummerSales.xlsx</x:v>
      </x:c>
      <x:c r="U334" s="36" t="str">
        <x:v>retrieve_and_synthesize</x:v>
      </x:c>
      <x:c r="V334" s="36" t="str">
        <x:v>[{"point_id":"P1","description":"在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x:v>
      </x:c>
      <x:c r="W334" s="36" t="str">
        <x:v>1.00</x:v>
      </x:c>
      <x:c r="X334" s="39" t="str">
        <x:v>相关工作表我都打开了，接着分别处理：第1件：在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x:v>
      </x:c>
      <x:c r="Y334"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x:v>
      </x:c>
      <x:c r="Z334" s="39" t="str">
        <x:v>不适用：当前题目不存在需要用户进一步选择的候选记忆。</x:v>
      </x:c>
      <x:c r="AA334" s="39" t="str">
        <x:v>不适用：当前题目没有指定需要排除的冲突或禁止记忆。</x:v>
      </x:c>
      <x:c r="AB334" s="39" t="str">
        <x:v>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334"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x:v>
      </x:c>
      <x:c r="AD334" s="39" t="str">
        <x:v>用户的完整请求是：“相关工作表我都打开了，接着分别处理：第1件：在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334" s="39" t="str">
        <x:v>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334" s="50" t="str">
        <x:v>not_pass</x:v>
      </x:c>
      <x:c r="AG334" s="50" t="n">
        <x:v>0</x:v>
      </x:c>
    </x:row>
    <x:row r="335" ht="202.5" customHeight="1">
      <x:c r="A335" s="35" t="str">
        <x:v>V3_CM25_Q04</x:v>
      </x:c>
      <x:c r="B335" s="36" t="str">
        <x:v>SG_COMP_CM25</x:v>
      </x:c>
      <x:c r="C335" s="36" t="str">
        <x:v>CM25</x:v>
      </x:c>
      <x:c r="D335" s="36" t="str">
        <x:v>两类产品收入透视分析</x:v>
      </x:c>
      <x:c r="E335" s="36" t="str">
        <x:v>complementary_multi_memory</x:v>
      </x:c>
      <x:c r="F335" s="36" t="str">
        <x:v>low_overlap_paraphrase</x:v>
      </x:c>
      <x:c r="G335" s="36" t="str">
        <x:v>challenge</x:v>
      </x:c>
      <x:c r="H335" s="36" t="str">
        <x:v>困难</x:v>
      </x:c>
      <x:c r="I335" s="36" t="str">
        <x:v>51719eea-10bc-4246-a428-ac7c433dd4b3|535364ea-05bd-46ea-9937-9f55c68507e8</x:v>
      </x:c>
      <x:c r="J335" s="36" t="str">
        <x:v>CTX_51719eea-10bc-4246-a428-ac7c433dd4b3|CTX_535364ea-05bd-46ea-9937-9f55c68507e8</x:v>
      </x:c>
      <x:c r="K335" s="36" t="str">
        <x:v>STM_51719eea-10bc-4246-a428-ac7c433dd4b3|LTM_535364ea-05bd-46ea-9937-9f55c68507e8</x:v>
      </x:c>
      <x:c r="L335" s="36" t="str"/>
      <x:c r="M335" s="36" t="str"/>
      <x:c r="N335" s="36" t="str">
        <x:v>工作流程|可复用模板</x:v>
      </x:c>
      <x:c r="O335" s="36" t="str">
        <x:v>短期|长期</x:v>
      </x:c>
      <x:c r="P335" s="36" t="str">
        <x:v>["libreoffice_calc"]</x:v>
      </x:c>
      <x:c r="Q335" s="36" t="str">
        <x:v>[{"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x:v>
      </x:c>
      <x:c r="R335" s="36" t="str">
        <x:v>[]</x:v>
      </x:c>
      <x:c r="S335" s="36" t="str">
        <x:v>calculate_revenue_and_create_product_pivot|create_product_and_channel_revenue_pivots</x:v>
      </x:c>
      <x:c r="T335" s="36" t="str">
        <x:v>BoomerangSales.xlsx|SummerSales.xlsx</x:v>
      </x:c>
      <x:c r="U335" s="36" t="str">
        <x:v>retrieve_and_synthesize</x:v>
      </x:c>
      <x:c r="V335" s="36" t="str">
        <x:v>[{"point_id":"P1","description":"在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x:v>
      </x:c>
      <x:c r="W335" s="36" t="str">
        <x:v>1.00</x:v>
      </x:c>
      <x:c r="X335" s="39" t="str">
        <x:v>我想一次把这批工作做完：第1件：在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Sheet2，创建两张数据透视表，分别汇总每种产品的总收入和每个销售渠道的总收入。不同文件的规则别串在一起。</x:v>
      </x:c>
      <x:c r="Y335"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x:v>
      </x:c>
      <x:c r="Z335" s="39" t="str">
        <x:v>不适用：当前题目不存在需要用户进一步选择的候选记忆。</x:v>
      </x:c>
      <x:c r="AA335" s="39" t="str">
        <x:v>不适用：当前题目没有指定需要排除的冲突或禁止记忆。</x:v>
      </x:c>
      <x:c r="AB335" s="39" t="str">
        <x:v>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335"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x:v>
      </x:c>
      <x:c r="AD335" s="39" t="str">
        <x:v>用户的完整请求是：“我想一次把这批工作做完：第1件：在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Sheet2，创建两张数据透视表，分别汇总每种产品的总收入和每个销售渠道的总收入。不同文件的规则别串在一起。”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335" s="39" t="str">
        <x:v>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335" s="50" t="str">
        <x:v>not_pass</x:v>
      </x:c>
      <x:c r="AG335" s="50" t="n">
        <x:v>0</x:v>
      </x:c>
    </x:row>
    <x:row r="336" ht="202.5" customHeight="1">
      <x:c r="A336" s="35" t="str">
        <x:v>V3_CM25_Q05</x:v>
      </x:c>
      <x:c r="B336" s="36" t="str">
        <x:v>SG_COMP_CM25</x:v>
      </x:c>
      <x:c r="C336" s="36" t="str">
        <x:v>CM25</x:v>
      </x:c>
      <x:c r="D336" s="36" t="str">
        <x:v>两类产品收入透视分析</x:v>
      </x:c>
      <x:c r="E336" s="36" t="str">
        <x:v>complementary_multi_memory</x:v>
      </x:c>
      <x:c r="F336" s="36" t="str">
        <x:v>human_constraint_emphasis</x:v>
      </x:c>
      <x:c r="G336" s="36" t="str">
        <x:v>challenge</x:v>
      </x:c>
      <x:c r="H336" s="36" t="str">
        <x:v>困难</x:v>
      </x:c>
      <x:c r="I336" s="36" t="str">
        <x:v>51719eea-10bc-4246-a428-ac7c433dd4b3|535364ea-05bd-46ea-9937-9f55c68507e8</x:v>
      </x:c>
      <x:c r="J336" s="36" t="str">
        <x:v>CTX_51719eea-10bc-4246-a428-ac7c433dd4b3|CTX_535364ea-05bd-46ea-9937-9f55c68507e8</x:v>
      </x:c>
      <x:c r="K336" s="36" t="str">
        <x:v>STM_51719eea-10bc-4246-a428-ac7c433dd4b3|LTM_535364ea-05bd-46ea-9937-9f55c68507e8</x:v>
      </x:c>
      <x:c r="L336" s="36" t="str"/>
      <x:c r="M336" s="36" t="str"/>
      <x:c r="N336" s="36" t="str">
        <x:v>工作流程|可复用模板</x:v>
      </x:c>
      <x:c r="O336" s="36" t="str">
        <x:v>短期|长期</x:v>
      </x:c>
      <x:c r="P336" s="36" t="str">
        <x:v>["libreoffice_calc"]</x:v>
      </x:c>
      <x:c r="Q336" s="36" t="str">
        <x:v>[{"step_id":"S1","app":"libreoffice_calc","action_key":"calculate_revenue_and_create_product_pivot","input_artifacts":["BoomerangSales.xlsx"],"output_artifacts":["BoomerangSales.xlsx"],"depends_on":[]},{"step_id":"S2","app":"libreoffice_calc","action_key":"create_product_and_channel_revenue_pivots","input_artifacts":["SummerSales.xlsx"],"output_artifacts":["SummerSales.xlsx"],"depends_on":[]}]</x:v>
      </x:c>
      <x:c r="R336" s="36" t="str">
        <x:v>[]</x:v>
      </x:c>
      <x:c r="S336" s="36" t="str">
        <x:v>calculate_revenue_and_create_product_pivot|create_product_and_channel_revenue_pivots</x:v>
      </x:c>
      <x:c r="T336" s="36" t="str">
        <x:v>BoomerangSales.xlsx|SummerSales.xlsx</x:v>
      </x:c>
      <x:c r="U336" s="36" t="str">
        <x:v>retrieve_and_synthesize</x:v>
      </x:c>
      <x:c r="V336" s="36" t="str">
        <x:v>[{"point_id":"P1","description":"在 BoomerangSales.xlsx 中依据 Retail Price 表的产品价格，并结合数量和折扣计算 Revenue 新列；随后在 Sheet2 创建按产品汇总收入的数据透视表。","weight":0.45,"evidence_memory_ids":["STM_51719eea-10bc-4246-a428-ac7c433dd4b3"]},{"point_id":"P2","description":"在 SummerSales.xlsx 新建 Sheet2，创建两张数据透视表，分别汇总每种产品的总收入和每个销售渠道的总收入。","weight":0.45,"evidence_memory_ids":["LTM_535364ea-05bd-46ea-9937-9f55c68507e8"]},{"point_id":"P3","description":"各文件和各步骤的规则不串用，不增加无来源操作","weight":0.1,"evidence_memory_ids":["STM_51719eea-10bc-4246-a428-ac7c433dd4b3","LTM_535364ea-05bd-46ea-9937-9f55c68507e8"]}]</x:v>
      </x:c>
      <x:c r="W336" s="36" t="str">
        <x:v>1.00</x:v>
      </x:c>
      <x:c r="X336" s="39" t="str">
        <x:v>这次按文件分别处理，要求如下：第1件：在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x:v>
      </x:c>
      <x:c r="Y336"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x:v>
      </x:c>
      <x:c r="Z336" s="39" t="str">
        <x:v>不适用：当前题目不存在需要用户进一步选择的候选记忆。</x:v>
      </x:c>
      <x:c r="AA336" s="39" t="str">
        <x:v>不适用：当前题目没有指定需要排除的冲突或禁止记忆。</x:v>
      </x:c>
      <x:c r="AB336" s="39" t="str">
        <x:v>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C336"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第2项实际操作：在 SummerSales.xlsx 新建 Sheet2，创建两张数据透视表，分别汇总每种产品的总收入和每个销售渠道的总收入。执行时必须满足：必须有两张透视表；分别按产品和销售渠道汇总；目标为 Sheet2。</x:v>
      </x:c>
      <x:c r="AD336" s="39" t="str">
        <x:v>用户的完整请求是：“这次按文件分别处理，要求如下：第1件：在 BoomerangSales.xlsx 中依据 Retail Price 表的产品价格，并结合数量和折扣计算 Revenue 新列；随后在 Sheet2 创建按产品汇总收入的数据透视表；第2件：在 SummerSales.xlsx 新建 Sheet2，创建两张数据透视表，分别汇总每种产品的总收入和每个销售渠道的总收入。” 第1个当前上下文：BoomerangSales.xlsx 已在 LibreOffice Calc 中打开。 第2个当前上下文：SummerSales.xlsx 已在 LibreOffice Calc 中打开。 当前请求要求在同一轮工作中得到多个结果。能够支持这些结果的完整必需记忆如下：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中依据 Retail Price 表的产品价格，并结合数量和折扣计算 Revenue 新列；随后在 Sheet2 创建按产品汇总收入的数据透视表；2）在 SummerSales.xlsx 新建 Sheet2，创建两张数据透视表，分别汇总每种产品的总收入和每个销售渠道的总收入。每项操作必须分别遵守其对应文件、工作表、范围、格式和输出约束，不能用其中一项替代另一项，也不能把不同文件的规则混用。”</x:v>
      </x:c>
      <x:c r="AE336" s="39" t="str">
        <x:v>本题总分为 1.00 分，各得分点独立累计，允许语义等价表达，不要求模型输出记忆 ID，也不要求逐字复述记忆原文。
第1个得分点（0.45分）：在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第2个得分点（0.45分）：在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第3个得分点（0.10分）：各文件和各步骤的规则不串用，不增加无来源操作。该得分点所依据的完整证据为：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第2条记忆（长期/可复用模板）：在 SummerSales.xlsx 新建 Sheet2，创建两张数据透视表，分别汇总每种产品的总收入和每个销售渠道的总收入。关键约束：必须有两张透视表；分别按产品和销售渠道汇总；目标为 Sheet2。
人工复审时，应依据模型最终给出的信息和实际操作是否满足上述每个得分点分别给分；只命中记忆 ID 但没有形成对应结论不能获得该结论分，形成了正确结论但表达方式不同则不应扣分。</x:v>
      </x:c>
      <x:c r="AF336" s="50" t="str">
        <x:v>not_pass</x:v>
      </x:c>
      <x:c r="AG336" s="50" t="n">
        <x:v>0</x:v>
      </x:c>
    </x:row>
    <x:row r="337" ht="189" customHeight="1">
      <x:c r="A337" s="35" t="str">
        <x:v>V3_CM26_Q01</x:v>
      </x:c>
      <x:c r="B337" s="36" t="str">
        <x:v>SG_COMP_CM26</x:v>
      </x:c>
      <x:c r="C337" s="36" t="str">
        <x:v>CM26</x:v>
      </x:c>
      <x:c r="D337" s="36" t="str">
        <x:v>发票计数与促销收入</x:v>
      </x:c>
      <x:c r="E337" s="36" t="str">
        <x:v>complementary_multi_memory</x:v>
      </x:c>
      <x:c r="F337" s="36" t="str">
        <x:v>human_context_explicit</x:v>
      </x:c>
      <x:c r="G337" s="36" t="str">
        <x:v>challenge</x:v>
      </x:c>
      <x:c r="H337" s="36" t="str">
        <x:v>困难</x:v>
      </x:c>
      <x:c r="I337" s="36" t="str">
        <x:v>1954cced-e748-45c4-9c26-9855b97fbc5e|1de60575-bb6e-4c3d-9e6a-2fa699f9f197</x:v>
      </x:c>
      <x:c r="J337" s="36" t="str">
        <x:v>CTX_1954cced-e748-45c4-9c26-9855b97fbc5e|CTX_1de60575-bb6e-4c3d-9e6a-2fa699f9f197</x:v>
      </x:c>
      <x:c r="K337" s="36" t="str">
        <x:v>MTM_1954cced-e748-45c4-9c26-9855b97fbc5e|STM_1de60575-bb6e-4c3d-9e6a-2fa699f9f197</x:v>
      </x:c>
      <x:c r="L337" s="36" t="str"/>
      <x:c r="M337" s="36" t="str"/>
      <x:c r="N337" s="36" t="str">
        <x:v>可复用模板|工作流程</x:v>
      </x:c>
      <x:c r="O337" s="36" t="str">
        <x:v>中期|短期</x:v>
      </x:c>
      <x:c r="P337" s="36" t="str">
        <x:v>["libreoffice_calc"]</x:v>
      </x:c>
      <x:c r="Q337" s="36" t="str">
        <x:v>[{"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x:v>
      </x:c>
      <x:c r="R337" s="36" t="str">
        <x:v>[]</x:v>
      </x:c>
      <x:c r="S337" s="36" t="str">
        <x:v>create_invoice_count_pivot|create_promotion_revenue_pivot</x:v>
      </x:c>
      <x:c r="T337" s="36" t="str">
        <x:v>Invoices.xlsx|EntireSummerSales.xlsx</x:v>
      </x:c>
      <x:c r="U337" s="36" t="str">
        <x:v>retrieve_and_synthesize</x:v>
      </x:c>
      <x:c r="V337" s="36" t="str">
        <x:v>[{"point_id":"P1","description":"在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x:v>
      </x:c>
      <x:c r="W337" s="36" t="str">
        <x:v>1.00</x:v>
      </x:c>
      <x:c r="X337" s="39" t="str">
        <x:v>我今天要一起处理这批表。先做第1件事：在 Invoices.xlsx 新建 Sheet2，通过数据透视表统计每个 Invoice No. 出现的次数；再做第2件事：在 EntireSummerSales.xlsx 新建 Sheet2，用数据透视表汇总每种 promotion type 的总 revenue，并将促销名称作为列标题。都按各自原来的规则完成。</x:v>
      </x:c>
      <x:c r="Y337"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x:v>
      </x:c>
      <x:c r="Z337" s="39" t="str">
        <x:v>不适用：当前题目不存在需要用户进一步选择的候选记忆。</x:v>
      </x:c>
      <x:c r="AA337" s="39" t="str">
        <x:v>不适用：当前题目没有指定需要排除的冲突或禁止记忆。</x:v>
      </x:c>
      <x:c r="AB337" s="39" t="str">
        <x:v>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C337" s="39" t="str">
        <x:v>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x:v>
      </x:c>
      <x:c r="AD337" s="39" t="str">
        <x:v>用户的完整请求是：“我今天要一起处理这批表。先做第1件事：在 Invoices.xlsx 新建 Sheet2，通过数据透视表统计每个 Invoice No. 出现的次数；再做第2件事：在 EntireSummerSales.xlsx 新建 Sheet2，用数据透视表汇总每种 promotion type 的总 revenue，并将促销名称作为列标题。都按各自原来的规则完成。”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E337" s="39" t="str">
        <x:v>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337" s="50" t="str">
        <x:v>not_pass</x:v>
      </x:c>
      <x:c r="AG337" s="50" t="n">
        <x:v>0</x:v>
      </x:c>
    </x:row>
    <x:row r="338" ht="189" customHeight="1">
      <x:c r="A338" s="35" t="str">
        <x:v>V3_CM26_Q02</x:v>
      </x:c>
      <x:c r="B338" s="36" t="str">
        <x:v>SG_COMP_CM26</x:v>
      </x:c>
      <x:c r="C338" s="36" t="str">
        <x:v>CM26</x:v>
      </x:c>
      <x:c r="D338" s="36" t="str">
        <x:v>发票计数与促销收入</x:v>
      </x:c>
      <x:c r="E338" s="36" t="str">
        <x:v>complementary_multi_memory</x:v>
      </x:c>
      <x:c r="F338" s="36" t="str">
        <x:v>human_goal_oriented</x:v>
      </x:c>
      <x:c r="G338" s="36" t="str">
        <x:v>challenge</x:v>
      </x:c>
      <x:c r="H338" s="36" t="str">
        <x:v>困难</x:v>
      </x:c>
      <x:c r="I338" s="36" t="str">
        <x:v>1954cced-e748-45c4-9c26-9855b97fbc5e|1de60575-bb6e-4c3d-9e6a-2fa699f9f197</x:v>
      </x:c>
      <x:c r="J338" s="36" t="str">
        <x:v>CTX_1954cced-e748-45c4-9c26-9855b97fbc5e|CTX_1de60575-bb6e-4c3d-9e6a-2fa699f9f197</x:v>
      </x:c>
      <x:c r="K338" s="36" t="str">
        <x:v>MTM_1954cced-e748-45c4-9c26-9855b97fbc5e|STM_1de60575-bb6e-4c3d-9e6a-2fa699f9f197</x:v>
      </x:c>
      <x:c r="L338" s="36" t="str"/>
      <x:c r="M338" s="36" t="str"/>
      <x:c r="N338" s="36" t="str">
        <x:v>可复用模板|工作流程</x:v>
      </x:c>
      <x:c r="O338" s="36" t="str">
        <x:v>中期|短期</x:v>
      </x:c>
      <x:c r="P338" s="36" t="str">
        <x:v>["libreoffice_calc"]</x:v>
      </x:c>
      <x:c r="Q338" s="36" t="str">
        <x:v>[{"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x:v>
      </x:c>
      <x:c r="R338" s="36" t="str">
        <x:v>[]</x:v>
      </x:c>
      <x:c r="S338" s="36" t="str">
        <x:v>create_invoice_count_pivot|create_promotion_revenue_pivot</x:v>
      </x:c>
      <x:c r="T338" s="36" t="str">
        <x:v>Invoices.xlsx|EntireSummerSales.xlsx</x:v>
      </x:c>
      <x:c r="U338" s="36" t="str">
        <x:v>retrieve_and_synthesize</x:v>
      </x:c>
      <x:c r="V338" s="36" t="str">
        <x:v>[{"point_id":"P1","description":"在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x:v>
      </x:c>
      <x:c r="W338" s="36" t="str">
        <x:v>1.00</x:v>
      </x:c>
      <x:c r="X338" s="39" t="str">
        <x:v>这批文件马上要交付，帮我把几项工作一起收尾：第1件：在 Invoices.xlsx 新建 Sheet2，通过数据透视表统计每个 Invoice No. 出现的次数；第2件：在 EntireSummerSales.xlsx 新建 Sheet2，用数据透视表汇总每种 promotion type 的总 revenue，并将促销名称作为列标题。</x:v>
      </x:c>
      <x:c r="Y338"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x:v>
      </x:c>
      <x:c r="Z338" s="39" t="str">
        <x:v>不适用：当前题目不存在需要用户进一步选择的候选记忆。</x:v>
      </x:c>
      <x:c r="AA338" s="39" t="str">
        <x:v>不适用：当前题目没有指定需要排除的冲突或禁止记忆。</x:v>
      </x:c>
      <x:c r="AB338" s="39" t="str">
        <x:v>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C338" s="39" t="str">
        <x:v>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x:v>
      </x:c>
      <x:c r="AD338" s="39" t="str">
        <x:v>用户的完整请求是：“这批文件马上要交付，帮我把几项工作一起收尾：第1件：在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E338" s="39" t="str">
        <x:v>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338" s="50" t="str">
        <x:v>not_pass</x:v>
      </x:c>
      <x:c r="AG338" s="50" t="n">
        <x:v>0</x:v>
      </x:c>
    </x:row>
    <x:row r="339" ht="189" customHeight="1">
      <x:c r="A339" s="35" t="str">
        <x:v>V3_CM26_Q03</x:v>
      </x:c>
      <x:c r="B339" s="36" t="str">
        <x:v>SG_COMP_CM26</x:v>
      </x:c>
      <x:c r="C339" s="36" t="str">
        <x:v>CM26</x:v>
      </x:c>
      <x:c r="D339" s="36" t="str">
        <x:v>发票计数与促销收入</x:v>
      </x:c>
      <x:c r="E339" s="36" t="str">
        <x:v>complementary_multi_memory</x:v>
      </x:c>
      <x:c r="F339" s="36" t="str">
        <x:v>contextual_ellipsis</x:v>
      </x:c>
      <x:c r="G339" s="36" t="str">
        <x:v>challenge</x:v>
      </x:c>
      <x:c r="H339" s="36" t="str">
        <x:v>困难</x:v>
      </x:c>
      <x:c r="I339" s="36" t="str">
        <x:v>1954cced-e748-45c4-9c26-9855b97fbc5e|1de60575-bb6e-4c3d-9e6a-2fa699f9f197</x:v>
      </x:c>
      <x:c r="J339" s="36" t="str">
        <x:v>CTX_1954cced-e748-45c4-9c26-9855b97fbc5e|CTX_1de60575-bb6e-4c3d-9e6a-2fa699f9f197</x:v>
      </x:c>
      <x:c r="K339" s="36" t="str">
        <x:v>MTM_1954cced-e748-45c4-9c26-9855b97fbc5e|STM_1de60575-bb6e-4c3d-9e6a-2fa699f9f197</x:v>
      </x:c>
      <x:c r="L339" s="36" t="str"/>
      <x:c r="M339" s="36" t="str"/>
      <x:c r="N339" s="36" t="str">
        <x:v>可复用模板|工作流程</x:v>
      </x:c>
      <x:c r="O339" s="36" t="str">
        <x:v>中期|短期</x:v>
      </x:c>
      <x:c r="P339" s="36" t="str">
        <x:v>["libreoffice_calc"]</x:v>
      </x:c>
      <x:c r="Q339" s="36" t="str">
        <x:v>[{"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x:v>
      </x:c>
      <x:c r="R339" s="36" t="str">
        <x:v>[]</x:v>
      </x:c>
      <x:c r="S339" s="36" t="str">
        <x:v>create_invoice_count_pivot|create_promotion_revenue_pivot</x:v>
      </x:c>
      <x:c r="T339" s="36" t="str">
        <x:v>Invoices.xlsx|EntireSummerSales.xlsx</x:v>
      </x:c>
      <x:c r="U339" s="36" t="str">
        <x:v>retrieve_and_synthesize</x:v>
      </x:c>
      <x:c r="V339" s="36" t="str">
        <x:v>[{"point_id":"P1","description":"在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x:v>
      </x:c>
      <x:c r="W339" s="36" t="str">
        <x:v>1.00</x:v>
      </x:c>
      <x:c r="X339" s="39" t="str">
        <x:v>相关工作表我都打开了，接着分别处理：第1件：在 Invoices.xlsx 新建 Sheet2，通过数据透视表统计每个 Invoice No. 出现的次数；第2件：在 EntireSummerSales.xlsx 新建 Sheet2，用数据透视表汇总每种 promotion type 的总 revenue，并将促销名称作为列标题。</x:v>
      </x:c>
      <x:c r="Y339"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x:v>
      </x:c>
      <x:c r="Z339" s="39" t="str">
        <x:v>不适用：当前题目不存在需要用户进一步选择的候选记忆。</x:v>
      </x:c>
      <x:c r="AA339" s="39" t="str">
        <x:v>不适用：当前题目没有指定需要排除的冲突或禁止记忆。</x:v>
      </x:c>
      <x:c r="AB339" s="39" t="str">
        <x:v>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C339" s="39" t="str">
        <x:v>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x:v>
      </x:c>
      <x:c r="AD339" s="39" t="str">
        <x:v>用户的完整请求是：“相关工作表我都打开了，接着分别处理：第1件：在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E339" s="39" t="str">
        <x:v>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339" s="50" t="str">
        <x:v>not_pass</x:v>
      </x:c>
      <x:c r="AG339" s="50" t="n">
        <x:v>0</x:v>
      </x:c>
    </x:row>
    <x:row r="340" ht="189" customHeight="1">
      <x:c r="A340" s="35" t="str">
        <x:v>V3_CM26_Q04</x:v>
      </x:c>
      <x:c r="B340" s="36" t="str">
        <x:v>SG_COMP_CM26</x:v>
      </x:c>
      <x:c r="C340" s="36" t="str">
        <x:v>CM26</x:v>
      </x:c>
      <x:c r="D340" s="36" t="str">
        <x:v>发票计数与促销收入</x:v>
      </x:c>
      <x:c r="E340" s="36" t="str">
        <x:v>complementary_multi_memory</x:v>
      </x:c>
      <x:c r="F340" s="36" t="str">
        <x:v>low_overlap_paraphrase</x:v>
      </x:c>
      <x:c r="G340" s="36" t="str">
        <x:v>challenge</x:v>
      </x:c>
      <x:c r="H340" s="36" t="str">
        <x:v>困难</x:v>
      </x:c>
      <x:c r="I340" s="36" t="str">
        <x:v>1954cced-e748-45c4-9c26-9855b97fbc5e|1de60575-bb6e-4c3d-9e6a-2fa699f9f197</x:v>
      </x:c>
      <x:c r="J340" s="36" t="str">
        <x:v>CTX_1954cced-e748-45c4-9c26-9855b97fbc5e|CTX_1de60575-bb6e-4c3d-9e6a-2fa699f9f197</x:v>
      </x:c>
      <x:c r="K340" s="36" t="str">
        <x:v>MTM_1954cced-e748-45c4-9c26-9855b97fbc5e|STM_1de60575-bb6e-4c3d-9e6a-2fa699f9f197</x:v>
      </x:c>
      <x:c r="L340" s="36" t="str"/>
      <x:c r="M340" s="36" t="str"/>
      <x:c r="N340" s="36" t="str">
        <x:v>可复用模板|工作流程</x:v>
      </x:c>
      <x:c r="O340" s="36" t="str">
        <x:v>中期|短期</x:v>
      </x:c>
      <x:c r="P340" s="36" t="str">
        <x:v>["libreoffice_calc"]</x:v>
      </x:c>
      <x:c r="Q340" s="36" t="str">
        <x:v>[{"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x:v>
      </x:c>
      <x:c r="R340" s="36" t="str">
        <x:v>[]</x:v>
      </x:c>
      <x:c r="S340" s="36" t="str">
        <x:v>create_invoice_count_pivot|create_promotion_revenue_pivot</x:v>
      </x:c>
      <x:c r="T340" s="36" t="str">
        <x:v>Invoices.xlsx|EntireSummerSales.xlsx</x:v>
      </x:c>
      <x:c r="U340" s="36" t="str">
        <x:v>retrieve_and_synthesize</x:v>
      </x:c>
      <x:c r="V340" s="36" t="str">
        <x:v>[{"point_id":"P1","description":"在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x:v>
      </x:c>
      <x:c r="W340" s="36" t="str">
        <x:v>1.00</x:v>
      </x:c>
      <x:c r="X340" s="39" t="str">
        <x:v>我想一次把这批工作做完：第1件：在 Invoices.xlsx 新建 Sheet2，通过数据透视表统计每个 Invoice No. 出现的次数；第2件：在 EntireSummerSales.xlsx 新建 Sheet2，用数据透视表汇总每种 promotion type 的总 revenue，并将促销名称作为列标题。不同文件的规则别串在一起。</x:v>
      </x:c>
      <x:c r="Y340"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x:v>
      </x:c>
      <x:c r="Z340" s="39" t="str">
        <x:v>不适用：当前题目不存在需要用户进一步选择的候选记忆。</x:v>
      </x:c>
      <x:c r="AA340" s="39" t="str">
        <x:v>不适用：当前题目没有指定需要排除的冲突或禁止记忆。</x:v>
      </x:c>
      <x:c r="AB340" s="39" t="str">
        <x:v>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C340" s="39" t="str">
        <x:v>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x:v>
      </x:c>
      <x:c r="AD340" s="39" t="str">
        <x:v>用户的完整请求是：“我想一次把这批工作做完：第1件：在 Invoices.xlsx 新建 Sheet2，通过数据透视表统计每个 Invoice No. 出现的次数；第2件：在 EntireSummerSales.xlsx 新建 Sheet2，用数据透视表汇总每种 promotion type 的总 revenue，并将促销名称作为列标题。不同文件的规则别串在一起。”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E340" s="39" t="str">
        <x:v>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340" s="50" t="str">
        <x:v>not_pass</x:v>
      </x:c>
      <x:c r="AG340" s="50" t="n">
        <x:v>0</x:v>
      </x:c>
    </x:row>
    <x:row r="341" ht="189" customHeight="1">
      <x:c r="A341" s="35" t="str">
        <x:v>V3_CM26_Q05</x:v>
      </x:c>
      <x:c r="B341" s="36" t="str">
        <x:v>SG_COMP_CM26</x:v>
      </x:c>
      <x:c r="C341" s="36" t="str">
        <x:v>CM26</x:v>
      </x:c>
      <x:c r="D341" s="36" t="str">
        <x:v>发票计数与促销收入</x:v>
      </x:c>
      <x:c r="E341" s="36" t="str">
        <x:v>complementary_multi_memory</x:v>
      </x:c>
      <x:c r="F341" s="36" t="str">
        <x:v>human_constraint_emphasis</x:v>
      </x:c>
      <x:c r="G341" s="36" t="str">
        <x:v>challenge</x:v>
      </x:c>
      <x:c r="H341" s="36" t="str">
        <x:v>困难</x:v>
      </x:c>
      <x:c r="I341" s="36" t="str">
        <x:v>1954cced-e748-45c4-9c26-9855b97fbc5e|1de60575-bb6e-4c3d-9e6a-2fa699f9f197</x:v>
      </x:c>
      <x:c r="J341" s="36" t="str">
        <x:v>CTX_1954cced-e748-45c4-9c26-9855b97fbc5e|CTX_1de60575-bb6e-4c3d-9e6a-2fa699f9f197</x:v>
      </x:c>
      <x:c r="K341" s="36" t="str">
        <x:v>MTM_1954cced-e748-45c4-9c26-9855b97fbc5e|STM_1de60575-bb6e-4c3d-9e6a-2fa699f9f197</x:v>
      </x:c>
      <x:c r="L341" s="36" t="str"/>
      <x:c r="M341" s="36" t="str"/>
      <x:c r="N341" s="36" t="str">
        <x:v>可复用模板|工作流程</x:v>
      </x:c>
      <x:c r="O341" s="36" t="str">
        <x:v>中期|短期</x:v>
      </x:c>
      <x:c r="P341" s="36" t="str">
        <x:v>["libreoffice_calc"]</x:v>
      </x:c>
      <x:c r="Q341" s="36" t="str">
        <x:v>[{"step_id":"S1","app":"libreoffice_calc","action_key":"create_invoice_count_pivot","input_artifacts":["Invoices.xlsx"],"output_artifacts":["Invoices.xlsx"],"depends_on":[]},{"step_id":"S2","app":"libreoffice_calc","action_key":"create_promotion_revenue_pivot","input_artifacts":["EntireSummerSales.xlsx"],"output_artifacts":["EntireSummerSales.xlsx"],"depends_on":[]}]</x:v>
      </x:c>
      <x:c r="R341" s="36" t="str">
        <x:v>[]</x:v>
      </x:c>
      <x:c r="S341" s="36" t="str">
        <x:v>create_invoice_count_pivot|create_promotion_revenue_pivot</x:v>
      </x:c>
      <x:c r="T341" s="36" t="str">
        <x:v>Invoices.xlsx|EntireSummerSales.xlsx</x:v>
      </x:c>
      <x:c r="U341" s="36" t="str">
        <x:v>retrieve_and_synthesize</x:v>
      </x:c>
      <x:c r="V341" s="36" t="str">
        <x:v>[{"point_id":"P1","description":"在 Invoices.xlsx 新建 Sheet2，通过数据透视表统计每个 Invoice No. 出现的次数。","weight":0.45,"evidence_memory_ids":["MTM_1954cced-e748-45c4-9c26-9855b97fbc5e"]},{"point_id":"P2","description":"在 EntireSummerSales.xlsx 新建 Sheet2，用数据透视表汇总每种 promotion type 的总 revenue，并将促销名称作为列标题。","weight":0.45,"evidence_memory_ids":["STM_1de60575-bb6e-4c3d-9e6a-2fa699f9f197"]},{"point_id":"P3","description":"各文件和各步骤的规则不串用，不增加无来源操作","weight":0.1,"evidence_memory_ids":["MTM_1954cced-e748-45c4-9c26-9855b97fbc5e","STM_1de60575-bb6e-4c3d-9e6a-2fa699f9f197"]}]</x:v>
      </x:c>
      <x:c r="W341" s="36" t="str">
        <x:v>1.00</x:v>
      </x:c>
      <x:c r="X341" s="39" t="str">
        <x:v>这次按文件分别处理，要求如下：第1件：在 Invoices.xlsx 新建 Sheet2，通过数据透视表统计每个 Invoice No. 出现的次数；第2件：在 EntireSummerSales.xlsx 新建 Sheet2，用数据透视表汇总每种 promotion type 的总 revenue，并将促销名称作为列标题。</x:v>
      </x:c>
      <x:c r="Y341"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x:v>
      </x:c>
      <x:c r="Z341" s="39" t="str">
        <x:v>不适用：当前题目不存在需要用户进一步选择的候选记忆。</x:v>
      </x:c>
      <x:c r="AA341" s="39" t="str">
        <x:v>不适用：当前题目没有指定需要排除的冲突或禁止记忆。</x:v>
      </x:c>
      <x:c r="AB341" s="39" t="str">
        <x:v>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C341" s="39" t="str">
        <x:v>第1项实际操作：在 Invoices.xlsx 新建 Sheet2，通过数据透视表统计每个 Invoice No. 出现的次数。执行时必须满足：使用数据透视表；目标为 Sheet2；按 Invoice No. 分组计数。 第2项实际操作：在 EntireSummerSales.xlsx 新建 Sheet2，用数据透视表汇总每种 promotion type 的总 revenue，并将促销名称作为列标题。执行时必须满足：使用数据透视表；促销名称作为列标题；结果放入 Sheet2。</x:v>
      </x:c>
      <x:c r="AD341" s="39" t="str">
        <x:v>用户的完整请求是：“这次按文件分别处理，要求如下：第1件：在 Invoices.xlsx 新建 Sheet2，通过数据透视表统计每个 Invoice No. 出现的次数；第2件：在 EntireSummerSales.xlsx 新建 Sheet2，用数据透视表汇总每种 promotion type 的总 revenue，并将促销名称作为列标题。” 第1个当前上下文：Invoices.xlsx 已在 LibreOffice Calc 中打开。 第2个当前上下文：EntireSummerSales.xlsx 已在 LibreOffice Calc 中打开。 当前请求要求在同一轮工作中得到多个结果。能够支持这些结果的完整必需记忆如下：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Invoices.xlsx 新建 Sheet2，通过数据透视表统计每个 Invoice No. 出现的次数；2）在 EntireSummerSales.xlsx 新建 Sheet2，用数据透视表汇总每种 promotion type 的总 revenue，并将促销名称作为列标题。每项操作必须分别遵守其对应文件、工作表、范围、格式和输出约束，不能用其中一项替代另一项，也不能把不同文件的规则混用。”</x:v>
      </x:c>
      <x:c r="AE341" s="39" t="str">
        <x:v>本题总分为 1.00 分，各得分点独立累计，允许语义等价表达，不要求模型输出记忆 ID，也不要求逐字复述记忆原文。
第1个得分点（0.45分）：在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第2个得分点（0.45分）：在 EntireSummerSales.xlsx 新建 Sheet2，用数据透视表汇总每种 promotion type 的总 revenue，并将促销名称作为列标题。该得分点所依据的完整证据为：
第1条记忆（短期/工作流程）：在 EntireSummerSales.xlsx 新建 Sheet2，用数据透视表汇总每种 promotion type 的总 revenue，并将促销名称作为列标题。关键约束：使用数据透视表；促销名称作为列标题；结果放入 Sheet2。
第3个得分点（0.10分）：各文件和各步骤的规则不串用，不增加无来源操作。该得分点所依据的完整证据为：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341" s="50" t="str">
        <x:v>not_pass</x:v>
      </x:c>
      <x:c r="AG341" s="50" t="n">
        <x:v>0</x:v>
      </x:c>
    </x:row>
    <x:row r="342" ht="216" customHeight="1">
      <x:c r="A342" s="35" t="str">
        <x:v>V3_CM27_Q01</x:v>
      </x:c>
      <x:c r="B342" s="36" t="str">
        <x:v>SG_COMP_CM27</x:v>
      </x:c>
      <x:c r="C342" s="36" t="str">
        <x:v>CM27</x:v>
      </x:c>
      <x:c r="D342" s="36" t="str">
        <x:v>摘要版式与周末高亮</x:v>
      </x:c>
      <x:c r="E342" s="36" t="str">
        <x:v>complementary_multi_memory</x:v>
      </x:c>
      <x:c r="F342" s="36" t="str">
        <x:v>human_context_explicit</x:v>
      </x:c>
      <x:c r="G342" s="36" t="str">
        <x:v>challenge</x:v>
      </x:c>
      <x:c r="H342" s="36" t="str">
        <x:v>困难</x:v>
      </x:c>
      <x:c r="I342" s="36" t="str">
        <x:v>1d17d234-e39d-4ed7-b46f-4417922a4e7c|8b1ce5f2-59d2-4dcc-b0b0-666a714b9a14</x:v>
      </x:c>
      <x:c r="J342" s="36" t="str">
        <x:v>CTX_1d17d234-e39d-4ed7-b46f-4417922a4e7c|CTX_8b1ce5f2-59d2-4dcc-b0b0-666a714b9a14</x:v>
      </x:c>
      <x:c r="K342" s="36" t="str">
        <x:v>LTM_1d17d234-e39d-4ed7-b46f-4417922a4e7c|LTM_8b1ce5f2-59d2-4dcc-b0b0-666a714b9a14</x:v>
      </x:c>
      <x:c r="L342" s="36" t="str"/>
      <x:c r="M342" s="36" t="str"/>
      <x:c r="N342" s="36" t="str">
        <x:v>可复用模板</x:v>
      </x:c>
      <x:c r="O342" s="36" t="str">
        <x:v>长期</x:v>
      </x:c>
      <x:c r="P342" s="36" t="str">
        <x:v>["libreoffice_calc"]</x:v>
      </x:c>
      <x:c r="Q342" s="36" t="str">
        <x:v>[{"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x:v>
      </x:c>
      <x:c r="R342" s="36" t="str">
        <x:v>[]</x:v>
      </x:c>
      <x:c r="S342" s="36" t="str">
        <x:v>build_investment_summary_header_layout|highlight_calendar_weekends_red</x:v>
      </x:c>
      <x:c r="T342" s="36" t="str">
        <x:v>FutureValue.xlsx|Calendar_Highlight_Weekend_Days.xlsx</x:v>
      </x:c>
      <x:c r="U342" s="36" t="str">
        <x:v>retrieve_and_synthesize</x:v>
      </x:c>
      <x:c r="V342" s="36" t="str">
        <x:v>[{"point_id":"P1","description":"在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x:v>
      </x:c>
      <x:c r="W342" s="36" t="str">
        <x:v>1.00</x:v>
      </x:c>
      <x:c r="X342" s="39" t="str">
        <x:v>我今天要一起处理这批表。先做第1件事：在 FutureValue.xlsx 新建 Sheet2，合并 A1:C1 写入 Investment Summary；合并 A2:B2 写入 High Interest Rate；合并 C2:D2 写入 Low Interest Rate；再做第2件事：在 Calendar_Highlight_Weekend_Days.xlsx 的不完整日历中识别所有周六和周日，并把对应单元格背景设置为红色 #ff0000。都按各自原来的规则完成。</x:v>
      </x:c>
      <x:c r="Y342"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x:v>
      </x:c>
      <x:c r="Z342" s="39" t="str">
        <x:v>不适用：当前题目不存在需要用户进一步选择的候选记忆。</x:v>
      </x:c>
      <x:c r="AA342" s="39" t="str">
        <x:v>不适用：当前题目没有指定需要排除的冲突或禁止记忆。</x:v>
      </x:c>
      <x:c r="AB342" s="39" t="str">
        <x:v>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C342"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x:v>
      </x:c>
      <x:c r="AD342" s="39" t="str">
        <x:v>用户的完整请求是：“我今天要一起处理这批表。先做第1件事：在 FutureValue.xlsx 新建 Sheet2，合并 A1:C1 写入 Investment Summary；合并 A2:B2 写入 High Interest Rate；合并 C2:D2 写入 Low Interest Rate；再做第2件事：在 Calendar_Highlight_Weekend_Days.xlsx 的不完整日历中识别所有周六和周日，并把对应单元格背景设置为红色 #ff0000。都按各自原来的规则完成。”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E342"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342" s="50" t="str">
        <x:v>not_pass</x:v>
      </x:c>
      <x:c r="AG342" s="50" t="n">
        <x:v>0</x:v>
      </x:c>
    </x:row>
    <x:row r="343" ht="216" customHeight="1">
      <x:c r="A343" s="35" t="str">
        <x:v>V3_CM27_Q02</x:v>
      </x:c>
      <x:c r="B343" s="36" t="str">
        <x:v>SG_COMP_CM27</x:v>
      </x:c>
      <x:c r="C343" s="36" t="str">
        <x:v>CM27</x:v>
      </x:c>
      <x:c r="D343" s="36" t="str">
        <x:v>摘要版式与周末高亮</x:v>
      </x:c>
      <x:c r="E343" s="36" t="str">
        <x:v>complementary_multi_memory</x:v>
      </x:c>
      <x:c r="F343" s="36" t="str">
        <x:v>human_goal_oriented</x:v>
      </x:c>
      <x:c r="G343" s="36" t="str">
        <x:v>challenge</x:v>
      </x:c>
      <x:c r="H343" s="36" t="str">
        <x:v>困难</x:v>
      </x:c>
      <x:c r="I343" s="36" t="str">
        <x:v>1d17d234-e39d-4ed7-b46f-4417922a4e7c|8b1ce5f2-59d2-4dcc-b0b0-666a714b9a14</x:v>
      </x:c>
      <x:c r="J343" s="36" t="str">
        <x:v>CTX_1d17d234-e39d-4ed7-b46f-4417922a4e7c|CTX_8b1ce5f2-59d2-4dcc-b0b0-666a714b9a14</x:v>
      </x:c>
      <x:c r="K343" s="36" t="str">
        <x:v>LTM_1d17d234-e39d-4ed7-b46f-4417922a4e7c|LTM_8b1ce5f2-59d2-4dcc-b0b0-666a714b9a14</x:v>
      </x:c>
      <x:c r="L343" s="36" t="str"/>
      <x:c r="M343" s="36" t="str"/>
      <x:c r="N343" s="36" t="str">
        <x:v>可复用模板</x:v>
      </x:c>
      <x:c r="O343" s="36" t="str">
        <x:v>长期</x:v>
      </x:c>
      <x:c r="P343" s="36" t="str">
        <x:v>["libreoffice_calc"]</x:v>
      </x:c>
      <x:c r="Q343" s="36" t="str">
        <x:v>[{"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x:v>
      </x:c>
      <x:c r="R343" s="36" t="str">
        <x:v>[]</x:v>
      </x:c>
      <x:c r="S343" s="36" t="str">
        <x:v>build_investment_summary_header_layout|highlight_calendar_weekends_red</x:v>
      </x:c>
      <x:c r="T343" s="36" t="str">
        <x:v>FutureValue.xlsx|Calendar_Highlight_Weekend_Days.xlsx</x:v>
      </x:c>
      <x:c r="U343" s="36" t="str">
        <x:v>retrieve_and_synthesize</x:v>
      </x:c>
      <x:c r="V343" s="36" t="str">
        <x:v>[{"point_id":"P1","description":"在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x:v>
      </x:c>
      <x:c r="W343" s="36" t="str">
        <x:v>1.00</x:v>
      </x:c>
      <x:c r="X343" s="39" t="str">
        <x:v>这批文件马上要交付，帮我把几项工作一起收尾：第1件：在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x:v>
      </x:c>
      <x:c r="Y343"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x:v>
      </x:c>
      <x:c r="Z343" s="39" t="str">
        <x:v>不适用：当前题目不存在需要用户进一步选择的候选记忆。</x:v>
      </x:c>
      <x:c r="AA343" s="39" t="str">
        <x:v>不适用：当前题目没有指定需要排除的冲突或禁止记忆。</x:v>
      </x:c>
      <x:c r="AB343" s="39" t="str">
        <x:v>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C343"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x:v>
      </x:c>
      <x:c r="AD343" s="39" t="str">
        <x:v>用户的完整请求是：“这批文件马上要交付，帮我把几项工作一起收尾：第1件：在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E343"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343" s="50" t="str">
        <x:v>not_pass</x:v>
      </x:c>
      <x:c r="AG343" s="50" t="n">
        <x:v>0</x:v>
      </x:c>
    </x:row>
    <x:row r="344" ht="216" customHeight="1">
      <x:c r="A344" s="35" t="str">
        <x:v>V3_CM27_Q03</x:v>
      </x:c>
      <x:c r="B344" s="36" t="str">
        <x:v>SG_COMP_CM27</x:v>
      </x:c>
      <x:c r="C344" s="36" t="str">
        <x:v>CM27</x:v>
      </x:c>
      <x:c r="D344" s="36" t="str">
        <x:v>摘要版式与周末高亮</x:v>
      </x:c>
      <x:c r="E344" s="36" t="str">
        <x:v>complementary_multi_memory</x:v>
      </x:c>
      <x:c r="F344" s="36" t="str">
        <x:v>contextual_ellipsis</x:v>
      </x:c>
      <x:c r="G344" s="36" t="str">
        <x:v>challenge</x:v>
      </x:c>
      <x:c r="H344" s="36" t="str">
        <x:v>困难</x:v>
      </x:c>
      <x:c r="I344" s="36" t="str">
        <x:v>1d17d234-e39d-4ed7-b46f-4417922a4e7c|8b1ce5f2-59d2-4dcc-b0b0-666a714b9a14</x:v>
      </x:c>
      <x:c r="J344" s="36" t="str">
        <x:v>CTX_1d17d234-e39d-4ed7-b46f-4417922a4e7c|CTX_8b1ce5f2-59d2-4dcc-b0b0-666a714b9a14</x:v>
      </x:c>
      <x:c r="K344" s="36" t="str">
        <x:v>LTM_1d17d234-e39d-4ed7-b46f-4417922a4e7c|LTM_8b1ce5f2-59d2-4dcc-b0b0-666a714b9a14</x:v>
      </x:c>
      <x:c r="L344" s="36" t="str"/>
      <x:c r="M344" s="36" t="str"/>
      <x:c r="N344" s="36" t="str">
        <x:v>可复用模板</x:v>
      </x:c>
      <x:c r="O344" s="36" t="str">
        <x:v>长期</x:v>
      </x:c>
      <x:c r="P344" s="36" t="str">
        <x:v>["libreoffice_calc"]</x:v>
      </x:c>
      <x:c r="Q344" s="36" t="str">
        <x:v>[{"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x:v>
      </x:c>
      <x:c r="R344" s="36" t="str">
        <x:v>[]</x:v>
      </x:c>
      <x:c r="S344" s="36" t="str">
        <x:v>build_investment_summary_header_layout|highlight_calendar_weekends_red</x:v>
      </x:c>
      <x:c r="T344" s="36" t="str">
        <x:v>FutureValue.xlsx|Calendar_Highlight_Weekend_Days.xlsx</x:v>
      </x:c>
      <x:c r="U344" s="36" t="str">
        <x:v>retrieve_and_synthesize</x:v>
      </x:c>
      <x:c r="V344" s="36" t="str">
        <x:v>[{"point_id":"P1","description":"在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x:v>
      </x:c>
      <x:c r="W344" s="36" t="str">
        <x:v>1.00</x:v>
      </x:c>
      <x:c r="X344" s="39" t="str">
        <x:v>相关工作表我都打开了，接着分别处理：第1件：在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x:v>
      </x:c>
      <x:c r="Y344"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x:v>
      </x:c>
      <x:c r="Z344" s="39" t="str">
        <x:v>不适用：当前题目不存在需要用户进一步选择的候选记忆。</x:v>
      </x:c>
      <x:c r="AA344" s="39" t="str">
        <x:v>不适用：当前题目没有指定需要排除的冲突或禁止记忆。</x:v>
      </x:c>
      <x:c r="AB344" s="39" t="str">
        <x:v>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C344"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x:v>
      </x:c>
      <x:c r="AD344" s="39" t="str">
        <x:v>用户的完整请求是：“相关工作表我都打开了，接着分别处理：第1件：在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E344"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344" s="50" t="str">
        <x:v>not_pass</x:v>
      </x:c>
      <x:c r="AG344" s="50" t="n">
        <x:v>0</x:v>
      </x:c>
    </x:row>
    <x:row r="345" ht="216" customHeight="1">
      <x:c r="A345" s="35" t="str">
        <x:v>V3_CM27_Q04</x:v>
      </x:c>
      <x:c r="B345" s="36" t="str">
        <x:v>SG_COMP_CM27</x:v>
      </x:c>
      <x:c r="C345" s="36" t="str">
        <x:v>CM27</x:v>
      </x:c>
      <x:c r="D345" s="36" t="str">
        <x:v>摘要版式与周末高亮</x:v>
      </x:c>
      <x:c r="E345" s="36" t="str">
        <x:v>complementary_multi_memory</x:v>
      </x:c>
      <x:c r="F345" s="36" t="str">
        <x:v>low_overlap_paraphrase</x:v>
      </x:c>
      <x:c r="G345" s="36" t="str">
        <x:v>challenge</x:v>
      </x:c>
      <x:c r="H345" s="36" t="str">
        <x:v>困难</x:v>
      </x:c>
      <x:c r="I345" s="36" t="str">
        <x:v>1d17d234-e39d-4ed7-b46f-4417922a4e7c|8b1ce5f2-59d2-4dcc-b0b0-666a714b9a14</x:v>
      </x:c>
      <x:c r="J345" s="36" t="str">
        <x:v>CTX_1d17d234-e39d-4ed7-b46f-4417922a4e7c|CTX_8b1ce5f2-59d2-4dcc-b0b0-666a714b9a14</x:v>
      </x:c>
      <x:c r="K345" s="36" t="str">
        <x:v>LTM_1d17d234-e39d-4ed7-b46f-4417922a4e7c|LTM_8b1ce5f2-59d2-4dcc-b0b0-666a714b9a14</x:v>
      </x:c>
      <x:c r="L345" s="36" t="str"/>
      <x:c r="M345" s="36" t="str"/>
      <x:c r="N345" s="36" t="str">
        <x:v>可复用模板</x:v>
      </x:c>
      <x:c r="O345" s="36" t="str">
        <x:v>长期</x:v>
      </x:c>
      <x:c r="P345" s="36" t="str">
        <x:v>["libreoffice_calc"]</x:v>
      </x:c>
      <x:c r="Q345" s="36" t="str">
        <x:v>[{"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x:v>
      </x:c>
      <x:c r="R345" s="36" t="str">
        <x:v>[]</x:v>
      </x:c>
      <x:c r="S345" s="36" t="str">
        <x:v>build_investment_summary_header_layout|highlight_calendar_weekends_red</x:v>
      </x:c>
      <x:c r="T345" s="36" t="str">
        <x:v>FutureValue.xlsx|Calendar_Highlight_Weekend_Days.xlsx</x:v>
      </x:c>
      <x:c r="U345" s="36" t="str">
        <x:v>retrieve_and_synthesize</x:v>
      </x:c>
      <x:c r="V345" s="36" t="str">
        <x:v>[{"point_id":"P1","description":"在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x:v>
      </x:c>
      <x:c r="W345" s="36" t="str">
        <x:v>1.00</x:v>
      </x:c>
      <x:c r="X345" s="39" t="str">
        <x:v>我想一次把这批工作做完：第1件：在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#ff0000。不同文件的规则别串在一起。</x:v>
      </x:c>
      <x:c r="Y345"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x:v>
      </x:c>
      <x:c r="Z345" s="39" t="str">
        <x:v>不适用：当前题目不存在需要用户进一步选择的候选记忆。</x:v>
      </x:c>
      <x:c r="AA345" s="39" t="str">
        <x:v>不适用：当前题目没有指定需要排除的冲突或禁止记忆。</x:v>
      </x:c>
      <x:c r="AB345" s="39" t="str">
        <x:v>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C345"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x:v>
      </x:c>
      <x:c r="AD345" s="39" t="str">
        <x:v>用户的完整请求是：“我想一次把这批工作做完：第1件：在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#ff0000。不同文件的规则别串在一起。”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E345"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345" s="50" t="str">
        <x:v>not_pass</x:v>
      </x:c>
      <x:c r="AG345" s="50" t="n">
        <x:v>0</x:v>
      </x:c>
    </x:row>
    <x:row r="346" ht="216" customHeight="1">
      <x:c r="A346" s="35" t="str">
        <x:v>V3_CM27_Q05</x:v>
      </x:c>
      <x:c r="B346" s="36" t="str">
        <x:v>SG_COMP_CM27</x:v>
      </x:c>
      <x:c r="C346" s="36" t="str">
        <x:v>CM27</x:v>
      </x:c>
      <x:c r="D346" s="36" t="str">
        <x:v>摘要版式与周末高亮</x:v>
      </x:c>
      <x:c r="E346" s="36" t="str">
        <x:v>complementary_multi_memory</x:v>
      </x:c>
      <x:c r="F346" s="36" t="str">
        <x:v>human_constraint_emphasis</x:v>
      </x:c>
      <x:c r="G346" s="36" t="str">
        <x:v>challenge</x:v>
      </x:c>
      <x:c r="H346" s="36" t="str">
        <x:v>困难</x:v>
      </x:c>
      <x:c r="I346" s="36" t="str">
        <x:v>1d17d234-e39d-4ed7-b46f-4417922a4e7c|8b1ce5f2-59d2-4dcc-b0b0-666a714b9a14</x:v>
      </x:c>
      <x:c r="J346" s="36" t="str">
        <x:v>CTX_1d17d234-e39d-4ed7-b46f-4417922a4e7c|CTX_8b1ce5f2-59d2-4dcc-b0b0-666a714b9a14</x:v>
      </x:c>
      <x:c r="K346" s="36" t="str">
        <x:v>LTM_1d17d234-e39d-4ed7-b46f-4417922a4e7c|LTM_8b1ce5f2-59d2-4dcc-b0b0-666a714b9a14</x:v>
      </x:c>
      <x:c r="L346" s="36" t="str"/>
      <x:c r="M346" s="36" t="str"/>
      <x:c r="N346" s="36" t="str">
        <x:v>可复用模板</x:v>
      </x:c>
      <x:c r="O346" s="36" t="str">
        <x:v>长期</x:v>
      </x:c>
      <x:c r="P346" s="36" t="str">
        <x:v>["libreoffice_calc"]</x:v>
      </x:c>
      <x:c r="Q346" s="36" t="str">
        <x:v>[{"step_id":"S1","app":"libreoffice_calc","action_key":"build_investment_summary_header_layout","input_artifacts":["FutureValue.xlsx"],"output_artifacts":["FutureValue.xlsx"],"depends_on":[]},{"step_id":"S2","app":"libreoffice_calc","action_key":"highlight_calendar_weekends_red","input_artifacts":["Calendar_Highlight_Weekend_Days.xlsx"],"output_artifacts":["Calendar_Highlight_Weekend_Days.xlsx"],"depends_on":[]}]</x:v>
      </x:c>
      <x:c r="R346" s="36" t="str">
        <x:v>[]</x:v>
      </x:c>
      <x:c r="S346" s="36" t="str">
        <x:v>build_investment_summary_header_layout|highlight_calendar_weekends_red</x:v>
      </x:c>
      <x:c r="T346" s="36" t="str">
        <x:v>FutureValue.xlsx|Calendar_Highlight_Weekend_Days.xlsx</x:v>
      </x:c>
      <x:c r="U346" s="36" t="str">
        <x:v>retrieve_and_synthesize</x:v>
      </x:c>
      <x:c r="V346" s="36" t="str">
        <x:v>[{"point_id":"P1","description":"在 FutureValue.xlsx 新建 Sheet2，合并 A1:C1 写入 Investment Summary；合并 A2:B2 写入 High Interest Rate；合并 C2:D2 写入 Low Interest Rate。","weight":0.45,"evidence_memory_ids":["LTM_1d17d234-e39d-4ed7-b46f-4417922a4e7c"]},{"point_id":"P2","description":"在 Calendar_Highlight_Weekend_Days.xlsx 的不完整日历中识别所有周六和周日，并把对应单元格背景设置为红色 #ff0000。","weight":0.45,"evidence_memory_ids":["LTM_8b1ce5f2-59d2-4dcc-b0b0-666a714b9a14"]},{"point_id":"P3","description":"各文件和各步骤的规则不串用，不增加无来源操作","weight":0.1,"evidence_memory_ids":["LTM_1d17d234-e39d-4ed7-b46f-4417922a4e7c","LTM_8b1ce5f2-59d2-4dcc-b0b0-666a714b9a14"]}]</x:v>
      </x:c>
      <x:c r="W346" s="36" t="str">
        <x:v>1.00</x:v>
      </x:c>
      <x:c r="X346" s="39" t="str">
        <x:v>这次按文件分别处理，要求如下：第1件：在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x:v>
      </x:c>
      <x:c r="Y346" s="39" t="str">
        <x:v>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x:v>
      </x:c>
      <x:c r="Z346" s="39" t="str">
        <x:v>不适用：当前题目不存在需要用户进一步选择的候选记忆。</x:v>
      </x:c>
      <x:c r="AA346" s="39" t="str">
        <x:v>不适用：当前题目没有指定需要排除的冲突或禁止记忆。</x:v>
      </x:c>
      <x:c r="AB346" s="39" t="str">
        <x:v>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C346" s="39" t="str">
        <x:v>第1项实际操作：在 FutureValue.xlsx 新建 Sheet2，合并 A1:C1 写入 Investment Summary；合并 A2:B2 写入 High Interest Rate；合并 C2:D2 写入 Low Interest Rate。执行时必须满足：必须使用指定合并范围和英文标题；所有内容位于新建 Sheet2。 第2项实际操作：在 Calendar_Highlight_Weekend_Days.xlsx 的不完整日历中识别所有周六和周日，并把对应单元格背景设置为红色 #ff0000。执行时必须满足：只高亮周六和周日；背景色为 #ff0000；不修改无关区域。</x:v>
      </x:c>
      <x:c r="AD346" s="39" t="str">
        <x:v>用户的完整请求是：“这次按文件分别处理，要求如下：第1件：在 FutureValue.xlsx 新建 Sheet2，合并 A1:C1 写入 Investment Summary；合并 A2:B2 写入 High Interest Rate；合并 C2:D2 写入 Low Interest Rate；第2件：在 Calendar_Highlight_Weekend_Days.xlsx 的不完整日历中识别所有周六和周日，并把对应单元格背景设置为红色 #ff0000。” 第1个当前上下文：FutureValue.xlsx 已在 LibreOffice Calc 中打开。 第2个当前上下文：Calendar_Highlight_Weekend_Days.xlsx 已在 LibreOffice Calc 中打开。 当前请求要求在同一轮工作中得到多个结果。能够支持这些结果的完整必需记忆如下：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FutureValue.xlsx 新建 Sheet2，合并 A1:C1 写入 Investment Summary；合并 A2:B2 写入 High Interest Rate；合并 C2:D2 写入 Low Interest Rate；2）在 Calendar_Highlight_Weekend_Days.xlsx 的不完整日历中识别所有周六和周日，并把对应单元格背景设置为红色 #ff0000。每项操作必须分别遵守其对应文件、工作表、范围、格式和输出约束，不能用其中一项替代另一项，也不能把不同文件的规则混用。”</x:v>
      </x:c>
      <x:c r="AE346" s="39" t="str">
        <x:v>本题总分为 1.00 分，各得分点独立累计，允许语义等价表达，不要求模型输出记忆 ID，也不要求逐字复述记忆原文。
第1个得分点（0.45分）：在 FutureValue.xlsx 新建 Sheet2，合并 A1:C1 写入 Investment Summary；合并 A2:B2 写入 High Interest Rate；合并 C2:D2 写入 Low Interest Rate。该得分点所依据的完整证据为：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第2个得分点（0.45分）：在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第3个得分点（0.10分）：各文件和各步骤的规则不串用，不增加无来源操作。该得分点所依据的完整证据为：
第1条记忆（长期/可复用模板）：在 FutureValue.xlsx 新建 Sheet2，合并 A1:C1 写入 Investment Summary；合并 A2:B2 写入 High Interest Rate；合并 C2:D2 写入 Low Interest Rate。关键约束：必须使用指定合并范围和英文标题；所有内容位于新建 Sheet2。
第2条记忆（长期/可复用模板）：在 Calendar_Highlight_Weekend_Days.xlsx 的不完整日历中识别所有周六和周日，并把对应单元格背景设置为红色 #ff0000。关键约束：只高亮周六和周日；背景色为 #ff0000；不修改无关区域。
人工复审时，应依据模型最终给出的信息和实际操作是否满足上述每个得分点分别给分；只命中记忆 ID 但没有形成对应结论不能获得该结论分，形成了正确结论但表达方式不同则不应扣分。</x:v>
      </x:c>
      <x:c r="AF346" s="50" t="str">
        <x:v>not_pass</x:v>
      </x:c>
      <x:c r="AG346" s="50" t="n">
        <x:v>0</x:v>
      </x:c>
    </x:row>
    <x:row r="347" ht="216" customHeight="1">
      <x:c r="A347" s="35" t="str">
        <x:v>V3_CM28_Q01</x:v>
      </x:c>
      <x:c r="B347" s="36" t="str">
        <x:v>SG_COMP_CM28</x:v>
      </x:c>
      <x:c r="C347" s="36" t="str">
        <x:v>CM28</x:v>
      </x:c>
      <x:c r="D347" s="36" t="str">
        <x:v>电影标题清理与人员查找</x:v>
      </x:c>
      <x:c r="E347" s="36" t="str">
        <x:v>complementary_multi_memory</x:v>
      </x:c>
      <x:c r="F347" s="36" t="str">
        <x:v>human_context_explicit</x:v>
      </x:c>
      <x:c r="G347" s="36" t="str">
        <x:v>challenge</x:v>
      </x:c>
      <x:c r="H347" s="36" t="str">
        <x:v>困难</x:v>
      </x:c>
      <x:c r="I347" s="36" t="str">
        <x:v>a9f325aa-8c05-4e4f-8341-9e4358565f4f|7e429b8d-a3f0-4ed0-9b58-08957d00b127</x:v>
      </x:c>
      <x:c r="J347" s="36" t="str">
        <x:v>CTX_a9f325aa-8c05-4e4f-8341-9e4358565f4f|CTX_7e429b8d-a3f0-4ed0-9b58-08957d00b127</x:v>
      </x:c>
      <x:c r="K347" s="36" t="str">
        <x:v>MTM_a9f325aa-8c05-4e4f-8341-9e4358565f4f|STM_7e429b8d-a3f0-4ed0-9b58-08957d00b127</x:v>
      </x:c>
      <x:c r="L347" s="36" t="str"/>
      <x:c r="M347" s="36" t="str"/>
      <x:c r="N347" s="36" t="str">
        <x:v>工作流程|知识</x:v>
      </x:c>
      <x:c r="O347" s="36" t="str">
        <x:v>中期|短期</x:v>
      </x:c>
      <x:c r="P347" s="36" t="str">
        <x:v>["libreoffice_calc"]</x:v>
      </x:c>
      <x:c r="Q347" s="36" t="str">
        <x:v>[{"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x:v>
      </x:c>
      <x:c r="R347" s="36" t="str">
        <x:v>[]</x:v>
      </x:c>
      <x:c r="S347" s="36" t="str">
        <x:v>clean_movie_titles|fill_branch_officers_from_lookup</x:v>
      </x:c>
      <x:c r="T347" s="36" t="str">
        <x:v>Movie_title_garbage_clean.xlsx|VLOOKUP_Fill_the_form.xlsx</x:v>
      </x:c>
      <x:c r="U347" s="36" t="str">
        <x:v>retrieve_and_synthesize</x:v>
      </x:c>
      <x:c r="V347" s="36" t="str">
        <x:v>[{"point_id":"P1","description":"把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x:v>
      </x:c>
      <x:c r="W347" s="36" t="str">
        <x:v>1.00</x:v>
      </x:c>
      <x:c r="X347" s="39" t="str">
        <x:v>我今天要一起处理这批表。先做第1件事：把 Movie_title_garbage_clean.xlsx 中 Garbage Movie Titles 的标题复制到 Clean Movie Titles，去掉多余空格，并将每个单词首字母大写、其余字母小写；再做第2件事：在 VLOOKUP_Fill_the_form.xlsx 中根据分支机构对照表，以 headoffice/branch name 为键查找对应 officer，并填入另一张表的 officer name 字段。都按各自原来的规则完成。</x:v>
      </x:c>
      <x:c r="Y347"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347" s="39" t="str">
        <x:v>不适用：当前题目不存在需要用户进一步选择的候选记忆。</x:v>
      </x:c>
      <x:c r="AA347" s="39" t="str">
        <x:v>不适用：当前题目没有指定需要排除的冲突或禁止记忆。</x:v>
      </x:c>
      <x:c r="AB347" s="39" t="str">
        <x:v>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C347"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347" s="39" t="str">
        <x:v>用户的完整请求是：“我今天要一起处理这批表。先做第1件事：把 Movie_title_garbage_clean.xlsx 中 Garbage Movie Titles 的标题复制到 Clean Movie Titles，去掉多余空格，并将每个单词首字母大写、其余字母小写；再做第2件事：在 VLOOKUP_Fill_the_form.xlsx 中根据分支机构对照表，以 headoffice/branch name 为键查找对应 officer，并填入另一张表的 officer name 字段。都按各自原来的规则完成。”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E347" s="39" t="str">
        <x:v>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347" s="50" t="str">
        <x:v>not_pass</x:v>
      </x:c>
      <x:c r="AG347" s="50" t="n">
        <x:v>0</x:v>
      </x:c>
    </x:row>
    <x:row r="348" ht="216" customHeight="1">
      <x:c r="A348" s="35" t="str">
        <x:v>V3_CM28_Q02</x:v>
      </x:c>
      <x:c r="B348" s="36" t="str">
        <x:v>SG_COMP_CM28</x:v>
      </x:c>
      <x:c r="C348" s="36" t="str">
        <x:v>CM28</x:v>
      </x:c>
      <x:c r="D348" s="36" t="str">
        <x:v>电影标题清理与人员查找</x:v>
      </x:c>
      <x:c r="E348" s="36" t="str">
        <x:v>complementary_multi_memory</x:v>
      </x:c>
      <x:c r="F348" s="36" t="str">
        <x:v>human_goal_oriented</x:v>
      </x:c>
      <x:c r="G348" s="36" t="str">
        <x:v>challenge</x:v>
      </x:c>
      <x:c r="H348" s="36" t="str">
        <x:v>困难</x:v>
      </x:c>
      <x:c r="I348" s="36" t="str">
        <x:v>a9f325aa-8c05-4e4f-8341-9e4358565f4f|7e429b8d-a3f0-4ed0-9b58-08957d00b127</x:v>
      </x:c>
      <x:c r="J348" s="36" t="str">
        <x:v>CTX_a9f325aa-8c05-4e4f-8341-9e4358565f4f|CTX_7e429b8d-a3f0-4ed0-9b58-08957d00b127</x:v>
      </x:c>
      <x:c r="K348" s="36" t="str">
        <x:v>MTM_a9f325aa-8c05-4e4f-8341-9e4358565f4f|STM_7e429b8d-a3f0-4ed0-9b58-08957d00b127</x:v>
      </x:c>
      <x:c r="L348" s="36" t="str"/>
      <x:c r="M348" s="36" t="str"/>
      <x:c r="N348" s="36" t="str">
        <x:v>工作流程|知识</x:v>
      </x:c>
      <x:c r="O348" s="36" t="str">
        <x:v>中期|短期</x:v>
      </x:c>
      <x:c r="P348" s="36" t="str">
        <x:v>["libreoffice_calc"]</x:v>
      </x:c>
      <x:c r="Q348" s="36" t="str">
        <x:v>[{"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x:v>
      </x:c>
      <x:c r="R348" s="36" t="str">
        <x:v>[]</x:v>
      </x:c>
      <x:c r="S348" s="36" t="str">
        <x:v>clean_movie_titles|fill_branch_officers_from_lookup</x:v>
      </x:c>
      <x:c r="T348" s="36" t="str">
        <x:v>Movie_title_garbage_clean.xlsx|VLOOKUP_Fill_the_form.xlsx</x:v>
      </x:c>
      <x:c r="U348" s="36" t="str">
        <x:v>retrieve_and_synthesize</x:v>
      </x:c>
      <x:c r="V348" s="36" t="str">
        <x:v>[{"point_id":"P1","description":"把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x:v>
      </x:c>
      <x:c r="W348" s="36" t="str">
        <x:v>1.00</x:v>
      </x:c>
      <x:c r="X348" s="39" t="str">
        <x:v>这批文件马上要交付，帮我把几项工作一起收尾：第1件：把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x:v>
      </x:c>
      <x:c r="Y348"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348" s="39" t="str">
        <x:v>不适用：当前题目不存在需要用户进一步选择的候选记忆。</x:v>
      </x:c>
      <x:c r="AA348" s="39" t="str">
        <x:v>不适用：当前题目没有指定需要排除的冲突或禁止记忆。</x:v>
      </x:c>
      <x:c r="AB348" s="39" t="str">
        <x:v>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C348"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348" s="39" t="str">
        <x:v>用户的完整请求是：“这批文件马上要交付，帮我把几项工作一起收尾：第1件：把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E348" s="39" t="str">
        <x:v>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348" s="50" t="str">
        <x:v>not_pass</x:v>
      </x:c>
      <x:c r="AG348" s="50" t="n">
        <x:v>0</x:v>
      </x:c>
    </x:row>
    <x:row r="349" ht="216" customHeight="1">
      <x:c r="A349" s="35" t="str">
        <x:v>V3_CM28_Q03</x:v>
      </x:c>
      <x:c r="B349" s="36" t="str">
        <x:v>SG_COMP_CM28</x:v>
      </x:c>
      <x:c r="C349" s="36" t="str">
        <x:v>CM28</x:v>
      </x:c>
      <x:c r="D349" s="36" t="str">
        <x:v>电影标题清理与人员查找</x:v>
      </x:c>
      <x:c r="E349" s="36" t="str">
        <x:v>complementary_multi_memory</x:v>
      </x:c>
      <x:c r="F349" s="36" t="str">
        <x:v>contextual_ellipsis</x:v>
      </x:c>
      <x:c r="G349" s="36" t="str">
        <x:v>challenge</x:v>
      </x:c>
      <x:c r="H349" s="36" t="str">
        <x:v>困难</x:v>
      </x:c>
      <x:c r="I349" s="36" t="str">
        <x:v>a9f325aa-8c05-4e4f-8341-9e4358565f4f|7e429b8d-a3f0-4ed0-9b58-08957d00b127</x:v>
      </x:c>
      <x:c r="J349" s="36" t="str">
        <x:v>CTX_a9f325aa-8c05-4e4f-8341-9e4358565f4f|CTX_7e429b8d-a3f0-4ed0-9b58-08957d00b127</x:v>
      </x:c>
      <x:c r="K349" s="36" t="str">
        <x:v>MTM_a9f325aa-8c05-4e4f-8341-9e4358565f4f|STM_7e429b8d-a3f0-4ed0-9b58-08957d00b127</x:v>
      </x:c>
      <x:c r="L349" s="36" t="str"/>
      <x:c r="M349" s="36" t="str"/>
      <x:c r="N349" s="36" t="str">
        <x:v>工作流程|知识</x:v>
      </x:c>
      <x:c r="O349" s="36" t="str">
        <x:v>中期|短期</x:v>
      </x:c>
      <x:c r="P349" s="36" t="str">
        <x:v>["libreoffice_calc"]</x:v>
      </x:c>
      <x:c r="Q349" s="36" t="str">
        <x:v>[{"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x:v>
      </x:c>
      <x:c r="R349" s="36" t="str">
        <x:v>[]</x:v>
      </x:c>
      <x:c r="S349" s="36" t="str">
        <x:v>clean_movie_titles|fill_branch_officers_from_lookup</x:v>
      </x:c>
      <x:c r="T349" s="36" t="str">
        <x:v>Movie_title_garbage_clean.xlsx|VLOOKUP_Fill_the_form.xlsx</x:v>
      </x:c>
      <x:c r="U349" s="36" t="str">
        <x:v>retrieve_and_synthesize</x:v>
      </x:c>
      <x:c r="V349" s="36" t="str">
        <x:v>[{"point_id":"P1","description":"把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x:v>
      </x:c>
      <x:c r="W349" s="36" t="str">
        <x:v>1.00</x:v>
      </x:c>
      <x:c r="X349" s="39" t="str">
        <x:v>相关工作表我都打开了，接着分别处理：第1件：把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x:v>
      </x:c>
      <x:c r="Y349"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349" s="39" t="str">
        <x:v>不适用：当前题目不存在需要用户进一步选择的候选记忆。</x:v>
      </x:c>
      <x:c r="AA349" s="39" t="str">
        <x:v>不适用：当前题目没有指定需要排除的冲突或禁止记忆。</x:v>
      </x:c>
      <x:c r="AB349" s="39" t="str">
        <x:v>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C349"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349" s="39" t="str">
        <x:v>用户的完整请求是：“相关工作表我都打开了，接着分别处理：第1件：把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E349" s="39" t="str">
        <x:v>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349" s="50" t="str">
        <x:v>not_pass</x:v>
      </x:c>
      <x:c r="AG349" s="50" t="n">
        <x:v>0</x:v>
      </x:c>
    </x:row>
    <x:row r="350" ht="216" customHeight="1">
      <x:c r="A350" s="35" t="str">
        <x:v>V3_CM28_Q04</x:v>
      </x:c>
      <x:c r="B350" s="36" t="str">
        <x:v>SG_COMP_CM28</x:v>
      </x:c>
      <x:c r="C350" s="36" t="str">
        <x:v>CM28</x:v>
      </x:c>
      <x:c r="D350" s="36" t="str">
        <x:v>电影标题清理与人员查找</x:v>
      </x:c>
      <x:c r="E350" s="36" t="str">
        <x:v>complementary_multi_memory</x:v>
      </x:c>
      <x:c r="F350" s="36" t="str">
        <x:v>low_overlap_paraphrase</x:v>
      </x:c>
      <x:c r="G350" s="36" t="str">
        <x:v>challenge</x:v>
      </x:c>
      <x:c r="H350" s="36" t="str">
        <x:v>困难</x:v>
      </x:c>
      <x:c r="I350" s="36" t="str">
        <x:v>a9f325aa-8c05-4e4f-8341-9e4358565f4f|7e429b8d-a3f0-4ed0-9b58-08957d00b127</x:v>
      </x:c>
      <x:c r="J350" s="36" t="str">
        <x:v>CTX_a9f325aa-8c05-4e4f-8341-9e4358565f4f|CTX_7e429b8d-a3f0-4ed0-9b58-08957d00b127</x:v>
      </x:c>
      <x:c r="K350" s="36" t="str">
        <x:v>MTM_a9f325aa-8c05-4e4f-8341-9e4358565f4f|STM_7e429b8d-a3f0-4ed0-9b58-08957d00b127</x:v>
      </x:c>
      <x:c r="L350" s="36" t="str"/>
      <x:c r="M350" s="36" t="str"/>
      <x:c r="N350" s="36" t="str">
        <x:v>工作流程|知识</x:v>
      </x:c>
      <x:c r="O350" s="36" t="str">
        <x:v>中期|短期</x:v>
      </x:c>
      <x:c r="P350" s="36" t="str">
        <x:v>["libreoffice_calc"]</x:v>
      </x:c>
      <x:c r="Q350" s="36" t="str">
        <x:v>[{"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x:v>
      </x:c>
      <x:c r="R350" s="36" t="str">
        <x:v>[]</x:v>
      </x:c>
      <x:c r="S350" s="36" t="str">
        <x:v>clean_movie_titles|fill_branch_officers_from_lookup</x:v>
      </x:c>
      <x:c r="T350" s="36" t="str">
        <x:v>Movie_title_garbage_clean.xlsx|VLOOKUP_Fill_the_form.xlsx</x:v>
      </x:c>
      <x:c r="U350" s="36" t="str">
        <x:v>retrieve_and_synthesize</x:v>
      </x:c>
      <x:c r="V350" s="36" t="str">
        <x:v>[{"point_id":"P1","description":"把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x:v>
      </x:c>
      <x:c r="W350" s="36" t="str">
        <x:v>1.00</x:v>
      </x:c>
      <x:c r="X350" s="39" t="str">
        <x:v>我想一次把这批工作做完：第1件：把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字段。不同文件的规则别串在一起。</x:v>
      </x:c>
      <x:c r="Y350"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350" s="39" t="str">
        <x:v>不适用：当前题目不存在需要用户进一步选择的候选记忆。</x:v>
      </x:c>
      <x:c r="AA350" s="39" t="str">
        <x:v>不适用：当前题目没有指定需要排除的冲突或禁止记忆。</x:v>
      </x:c>
      <x:c r="AB350" s="39" t="str">
        <x:v>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C350"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350" s="39" t="str">
        <x:v>用户的完整请求是：“我想一次把这批工作做完：第1件：把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字段。不同文件的规则别串在一起。”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E350" s="39" t="str">
        <x:v>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350" s="50" t="str">
        <x:v>not_pass</x:v>
      </x:c>
      <x:c r="AG350" s="50" t="n">
        <x:v>0</x:v>
      </x:c>
    </x:row>
    <x:row r="351" ht="216" customHeight="1">
      <x:c r="A351" s="35" t="str">
        <x:v>V3_CM28_Q05</x:v>
      </x:c>
      <x:c r="B351" s="36" t="str">
        <x:v>SG_COMP_CM28</x:v>
      </x:c>
      <x:c r="C351" s="36" t="str">
        <x:v>CM28</x:v>
      </x:c>
      <x:c r="D351" s="36" t="str">
        <x:v>电影标题清理与人员查找</x:v>
      </x:c>
      <x:c r="E351" s="36" t="str">
        <x:v>complementary_multi_memory</x:v>
      </x:c>
      <x:c r="F351" s="36" t="str">
        <x:v>human_constraint_emphasis</x:v>
      </x:c>
      <x:c r="G351" s="36" t="str">
        <x:v>challenge</x:v>
      </x:c>
      <x:c r="H351" s="36" t="str">
        <x:v>困难</x:v>
      </x:c>
      <x:c r="I351" s="36" t="str">
        <x:v>a9f325aa-8c05-4e4f-8341-9e4358565f4f|7e429b8d-a3f0-4ed0-9b58-08957d00b127</x:v>
      </x:c>
      <x:c r="J351" s="36" t="str">
        <x:v>CTX_a9f325aa-8c05-4e4f-8341-9e4358565f4f|CTX_7e429b8d-a3f0-4ed0-9b58-08957d00b127</x:v>
      </x:c>
      <x:c r="K351" s="36" t="str">
        <x:v>MTM_a9f325aa-8c05-4e4f-8341-9e4358565f4f|STM_7e429b8d-a3f0-4ed0-9b58-08957d00b127</x:v>
      </x:c>
      <x:c r="L351" s="36" t="str"/>
      <x:c r="M351" s="36" t="str"/>
      <x:c r="N351" s="36" t="str">
        <x:v>工作流程|知识</x:v>
      </x:c>
      <x:c r="O351" s="36" t="str">
        <x:v>中期|短期</x:v>
      </x:c>
      <x:c r="P351" s="36" t="str">
        <x:v>["libreoffice_calc"]</x:v>
      </x:c>
      <x:c r="Q351" s="36" t="str">
        <x:v>[{"step_id":"S1","app":"libreoffice_calc","action_key":"clean_movie_titles","input_artifacts":["Movie_title_garbage_clean.xlsx"],"output_artifacts":["Movie_title_garbage_clean.xlsx"],"depends_on":[]},{"step_id":"S2","app":"libreoffice_calc","action_key":"fill_branch_officers_from_lookup","input_artifacts":["VLOOKUP_Fill_the_form.xlsx"],"output_artifacts":["VLOOKUP_Fill_the_form.xlsx"],"depends_on":[]}]</x:v>
      </x:c>
      <x:c r="R351" s="36" t="str">
        <x:v>[]</x:v>
      </x:c>
      <x:c r="S351" s="36" t="str">
        <x:v>clean_movie_titles|fill_branch_officers_from_lookup</x:v>
      </x:c>
      <x:c r="T351" s="36" t="str">
        <x:v>Movie_title_garbage_clean.xlsx|VLOOKUP_Fill_the_form.xlsx</x:v>
      </x:c>
      <x:c r="U351" s="36" t="str">
        <x:v>retrieve_and_synthesize</x:v>
      </x:c>
      <x:c r="V351" s="36" t="str">
        <x:v>[{"point_id":"P1","description":"把 Movie_title_garbage_clean.xlsx 中 Garbage Movie Titles 的标题复制到 Clean Movie Titles，去掉多余空格，并将每个单词首字母大写、其余字母小写。","weight":0.45,"evidence_memory_ids":["MTM_a9f325aa-8c05-4e4f-8341-9e4358565f4f"]},{"point_id":"P2","description":"在 VLOOKUP_Fill_the_form.xlsx 中根据分支机构对照表，以 headoffice/branch name 为键查找对应 officer，并填入另一张表的 officer name 字段。","weight":0.45,"evidence_memory_ids":["STM_7e429b8d-a3f0-4ed0-9b58-08957d00b127"]},{"point_id":"P3","description":"各文件和各步骤的规则不串用，不增加无来源操作","weight":0.1,"evidence_memory_ids":["MTM_a9f325aa-8c05-4e4f-8341-9e4358565f4f","STM_7e429b8d-a3f0-4ed0-9b58-08957d00b127"]}]</x:v>
      </x:c>
      <x:c r="W351" s="36" t="str">
        <x:v>1.00</x:v>
      </x:c>
      <x:c r="X351" s="39" t="str">
        <x:v>这次按文件分别处理，要求如下：第1件：把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x:v>
      </x:c>
      <x:c r="Y351"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351" s="39" t="str">
        <x:v>不适用：当前题目不存在需要用户进一步选择的候选记忆。</x:v>
      </x:c>
      <x:c r="AA351" s="39" t="str">
        <x:v>不适用：当前题目没有指定需要排除的冲突或禁止记忆。</x:v>
      </x:c>
      <x:c r="AB351" s="39" t="str">
        <x:v>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C351"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第2项实际操作：在 VLOOKUP_Fill_the_form.xlsx 中根据分支机构对照表，以 headoffice/branch name 为键查找对应 officer，并填入另一张表的 officer name 字段。执行时必须满足：以分支机构名称匹配；使用已有对照表；不得凭空生成 officer 名称。</x:v>
      </x:c>
      <x:c r="AD351" s="39" t="str">
        <x:v>用户的完整请求是：“这次按文件分别处理，要求如下：第1件：把 Movie_title_garbage_clean.xlsx 中 Garbage Movie Titles 的标题复制到 Clean Movie Titles，去掉多余空格，并将每个单词首字母大写、其余字母小写；第2件：在 VLOOKUP_Fill_the_form.xlsx 中根据分支机构对照表，以 headoffice/branch name 为键查找对应 officer，并填入另一张表的 officer name 字段。” 第1个当前上下文：Movie_title_garbage_clean.xlsx 已在 LibreOffice Calc 中打开。 第2个当前上下文：VLOOKUP_Fill_the_form.xlsx 已在 LibreOffice Calc 中打开。 当前请求要求在同一轮工作中得到多个结果。能够支持这些结果的完整必需记忆如下：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Movie_title_garbage_clean.xlsx 中 Garbage Movie Titles 的标题复制到 Clean Movie Titles，去掉多余空格，并将每个单词首字母大写、其余字母小写；2）在 VLOOKUP_Fill_the_form.xlsx 中根据分支机构对照表，以 headoffice/branch name 为键查找对应 officer，并填入另一张表的 officer name 字段。每项操作必须分别遵守其对应文件、工作表、范围、格式和输出约束，不能用其中一项替代另一项，也不能把不同文件的规则混用。”</x:v>
      </x:c>
      <x:c r="AE351" s="39" t="str">
        <x:v>本题总分为 1.00 分，各得分点独立累计，允许语义等价表达，不要求模型输出记忆 ID，也不要求逐字复述记忆原文。
第1个得分点（0.45分）：把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第2个得分点（0.45分）：在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第3个得分点（0.10分）：各文件和各步骤的规则不串用，不增加无来源操作。该得分点所依据的完整证据为：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第2条记忆（短期/知识）：在 VLOOKUP_Fill_the_form.xlsx 中根据分支机构对照表，以 headoffice/branch name 为键查找对应 officer，并填入另一张表的 officer name 字段。关键约束：以分支机构名称匹配；使用已有对照表；不得凭空生成 officer 名称。
人工复审时，应依据模型最终给出的信息和实际操作是否满足上述每个得分点分别给分；只命中记忆 ID 但没有形成对应结论不能获得该结论分，形成了正确结论但表达方式不同则不应扣分。</x:v>
      </x:c>
      <x:c r="AF351" s="50" t="str">
        <x:v>not_pass</x:v>
      </x:c>
      <x:c r="AG351" s="50" t="n">
        <x:v>0</x:v>
      </x:c>
    </x:row>
    <x:row r="352" ht="216" customHeight="1">
      <x:c r="A352" s="35" t="str">
        <x:v>V3_CM29_Q01</x:v>
      </x:c>
      <x:c r="B352" s="36" t="str">
        <x:v>SG_COMP_CM29</x:v>
      </x:c>
      <x:c r="C352" s="36" t="str">
        <x:v>CM29</x:v>
      </x:c>
      <x:c r="D352" s="36" t="str">
        <x:v>员工字段拆分与姓名去重</x:v>
      </x:c>
      <x:c r="E352" s="36" t="str">
        <x:v>complementary_multi_memory</x:v>
      </x:c>
      <x:c r="F352" s="36" t="str">
        <x:v>human_context_explicit</x:v>
      </x:c>
      <x:c r="G352" s="36" t="str">
        <x:v>challenge</x:v>
      </x:c>
      <x:c r="H352" s="36" t="str">
        <x:v>困难</x:v>
      </x:c>
      <x:c r="I352" s="36" t="str">
        <x:v>37608790-6147-45d0-9f20-1137bb35703d|abed40dc-063f-4598-8ba5-9fe749c0615d</x:v>
      </x:c>
      <x:c r="J352" s="36" t="str">
        <x:v>CTX_37608790-6147-45d0-9f20-1137bb35703d|CTX_abed40dc-063f-4598-8ba5-9fe749c0615d</x:v>
      </x:c>
      <x:c r="K352" s="36" t="str">
        <x:v>STM_37608790-6147-45d0-9f20-1137bb35703d|STM_abed40dc-063f-4598-8ba5-9fe749c0615d</x:v>
      </x:c>
      <x:c r="L352" s="36" t="str"/>
      <x:c r="M352" s="36" t="str"/>
      <x:c r="N352" s="36" t="str">
        <x:v>工作流程</x:v>
      </x:c>
      <x:c r="O352" s="36" t="str">
        <x:v>短期</x:v>
      </x:c>
      <x:c r="P352" s="36" t="str">
        <x:v>["libreoffice_calc"]</x:v>
      </x:c>
      <x:c r="Q352" s="36" t="str">
        <x:v>[{"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x:v>
      </x:c>
      <x:c r="R352" s="36" t="str">
        <x:v>[]</x:v>
      </x:c>
      <x:c r="S352" s="36" t="str">
        <x:v>split_employee_identity_fields|extract_unique_names_preserving_order</x:v>
      </x:c>
      <x:c r="T352" s="36" t="str">
        <x:v>Employee_Roles_and_Ranks.xlsx|Names_Duplicate_Unique.xlsx</x:v>
      </x:c>
      <x:c r="U352" s="36" t="str">
        <x:v>retrieve_and_synthesize</x:v>
      </x:c>
      <x:c r="V352" s="36" t="str">
        <x:v>[{"point_id":"P1","description":"在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x:v>
      </x:c>
      <x:c r="W352" s="36" t="str">
        <x:v>1.00</x:v>
      </x:c>
      <x:c r="X352" s="39" t="str">
        <x:v>我今天要一起处理这批表。先做第1件事：在 Employee_Roles_and_Ranks.xlsx 中，把混在一个字段里的人员信息拆分，并分别填入 First Name、Last Name 和 Rank 列，同时保留原始数据；再做第2件事：检查 Names_Duplicate_Unique.xlsx 的 Names with duplicates 列，把去重后的姓名填入 Unique Names 列，并保留每个姓名第一次出现的原始顺序。都按各自原来的规则完成。</x:v>
      </x:c>
      <x:c r="Y352" s="39" t="str">
        <x:v>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52" s="39" t="str">
        <x:v>不适用：当前题目不存在需要用户进一步选择的候选记忆。</x:v>
      </x:c>
      <x:c r="AA352" s="39" t="str">
        <x:v>不适用：当前题目没有指定需要排除的冲突或禁止记忆。</x:v>
      </x:c>
      <x:c r="AB352" s="39" t="str">
        <x:v>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52"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52" s="39" t="str">
        <x:v>用户的完整请求是：“我今天要一起处理这批表。先做第1件事：在 Employee_Roles_and_Ranks.xlsx 中，把混在一个字段里的人员信息拆分，并分别填入 First Name、Last Name 和 Rank 列，同时保留原始数据；再做第2件事：检查 Names_Duplicate_Unique.xlsx 的 Names with duplicates 列，把去重后的姓名填入 Unique Names 列，并保留每个姓名第一次出现的原始顺序。都按各自原来的规则完成。”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52"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52" s="50" t="str">
        <x:v>not_pass</x:v>
      </x:c>
      <x:c r="AG352" s="50" t="n">
        <x:v>0</x:v>
      </x:c>
    </x:row>
    <x:row r="353" ht="216" customHeight="1">
      <x:c r="A353" s="35" t="str">
        <x:v>V3_CM29_Q02</x:v>
      </x:c>
      <x:c r="B353" s="36" t="str">
        <x:v>SG_COMP_CM29</x:v>
      </x:c>
      <x:c r="C353" s="36" t="str">
        <x:v>CM29</x:v>
      </x:c>
      <x:c r="D353" s="36" t="str">
        <x:v>员工字段拆分与姓名去重</x:v>
      </x:c>
      <x:c r="E353" s="36" t="str">
        <x:v>complementary_multi_memory</x:v>
      </x:c>
      <x:c r="F353" s="36" t="str">
        <x:v>human_goal_oriented</x:v>
      </x:c>
      <x:c r="G353" s="36" t="str">
        <x:v>challenge</x:v>
      </x:c>
      <x:c r="H353" s="36" t="str">
        <x:v>困难</x:v>
      </x:c>
      <x:c r="I353" s="36" t="str">
        <x:v>37608790-6147-45d0-9f20-1137bb35703d|abed40dc-063f-4598-8ba5-9fe749c0615d</x:v>
      </x:c>
      <x:c r="J353" s="36" t="str">
        <x:v>CTX_37608790-6147-45d0-9f20-1137bb35703d|CTX_abed40dc-063f-4598-8ba5-9fe749c0615d</x:v>
      </x:c>
      <x:c r="K353" s="36" t="str">
        <x:v>STM_37608790-6147-45d0-9f20-1137bb35703d|STM_abed40dc-063f-4598-8ba5-9fe749c0615d</x:v>
      </x:c>
      <x:c r="L353" s="36" t="str"/>
      <x:c r="M353" s="36" t="str"/>
      <x:c r="N353" s="36" t="str">
        <x:v>工作流程</x:v>
      </x:c>
      <x:c r="O353" s="36" t="str">
        <x:v>短期</x:v>
      </x:c>
      <x:c r="P353" s="36" t="str">
        <x:v>["libreoffice_calc"]</x:v>
      </x:c>
      <x:c r="Q353" s="36" t="str">
        <x:v>[{"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x:v>
      </x:c>
      <x:c r="R353" s="36" t="str">
        <x:v>[]</x:v>
      </x:c>
      <x:c r="S353" s="36" t="str">
        <x:v>split_employee_identity_fields|extract_unique_names_preserving_order</x:v>
      </x:c>
      <x:c r="T353" s="36" t="str">
        <x:v>Employee_Roles_and_Ranks.xlsx|Names_Duplicate_Unique.xlsx</x:v>
      </x:c>
      <x:c r="U353" s="36" t="str">
        <x:v>retrieve_and_synthesize</x:v>
      </x:c>
      <x:c r="V353" s="36" t="str">
        <x:v>[{"point_id":"P1","description":"在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x:v>
      </x:c>
      <x:c r="W353" s="36" t="str">
        <x:v>1.00</x:v>
      </x:c>
      <x:c r="X353" s="39" t="str">
        <x:v>这批文件马上要交付，帮我把几项工作一起收尾：第1件：在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x:v>
      </x:c>
      <x:c r="Y353" s="39" t="str">
        <x:v>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53" s="39" t="str">
        <x:v>不适用：当前题目不存在需要用户进一步选择的候选记忆。</x:v>
      </x:c>
      <x:c r="AA353" s="39" t="str">
        <x:v>不适用：当前题目没有指定需要排除的冲突或禁止记忆。</x:v>
      </x:c>
      <x:c r="AB353" s="39" t="str">
        <x:v>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53"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53" s="39" t="str">
        <x:v>用户的完整请求是：“这批文件马上要交付，帮我把几项工作一起收尾：第1件：在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53"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53" s="50" t="str">
        <x:v>not_pass</x:v>
      </x:c>
      <x:c r="AG353" s="50" t="n">
        <x:v>0</x:v>
      </x:c>
    </x:row>
    <x:row r="354" ht="216" customHeight="1">
      <x:c r="A354" s="35" t="str">
        <x:v>V3_CM29_Q03</x:v>
      </x:c>
      <x:c r="B354" s="36" t="str">
        <x:v>SG_COMP_CM29</x:v>
      </x:c>
      <x:c r="C354" s="36" t="str">
        <x:v>CM29</x:v>
      </x:c>
      <x:c r="D354" s="36" t="str">
        <x:v>员工字段拆分与姓名去重</x:v>
      </x:c>
      <x:c r="E354" s="36" t="str">
        <x:v>complementary_multi_memory</x:v>
      </x:c>
      <x:c r="F354" s="36" t="str">
        <x:v>contextual_ellipsis</x:v>
      </x:c>
      <x:c r="G354" s="36" t="str">
        <x:v>challenge</x:v>
      </x:c>
      <x:c r="H354" s="36" t="str">
        <x:v>困难</x:v>
      </x:c>
      <x:c r="I354" s="36" t="str">
        <x:v>37608790-6147-45d0-9f20-1137bb35703d|abed40dc-063f-4598-8ba5-9fe749c0615d</x:v>
      </x:c>
      <x:c r="J354" s="36" t="str">
        <x:v>CTX_37608790-6147-45d0-9f20-1137bb35703d|CTX_abed40dc-063f-4598-8ba5-9fe749c0615d</x:v>
      </x:c>
      <x:c r="K354" s="36" t="str">
        <x:v>STM_37608790-6147-45d0-9f20-1137bb35703d|STM_abed40dc-063f-4598-8ba5-9fe749c0615d</x:v>
      </x:c>
      <x:c r="L354" s="36" t="str"/>
      <x:c r="M354" s="36" t="str"/>
      <x:c r="N354" s="36" t="str">
        <x:v>工作流程</x:v>
      </x:c>
      <x:c r="O354" s="36" t="str">
        <x:v>短期</x:v>
      </x:c>
      <x:c r="P354" s="36" t="str">
        <x:v>["libreoffice_calc"]</x:v>
      </x:c>
      <x:c r="Q354" s="36" t="str">
        <x:v>[{"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x:v>
      </x:c>
      <x:c r="R354" s="36" t="str">
        <x:v>[]</x:v>
      </x:c>
      <x:c r="S354" s="36" t="str">
        <x:v>split_employee_identity_fields|extract_unique_names_preserving_order</x:v>
      </x:c>
      <x:c r="T354" s="36" t="str">
        <x:v>Employee_Roles_and_Ranks.xlsx|Names_Duplicate_Unique.xlsx</x:v>
      </x:c>
      <x:c r="U354" s="36" t="str">
        <x:v>retrieve_and_synthesize</x:v>
      </x:c>
      <x:c r="V354" s="36" t="str">
        <x:v>[{"point_id":"P1","description":"在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x:v>
      </x:c>
      <x:c r="W354" s="36" t="str">
        <x:v>1.00</x:v>
      </x:c>
      <x:c r="X354" s="39" t="str">
        <x:v>相关工作表我都打开了，接着分别处理：第1件：在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x:v>
      </x:c>
      <x:c r="Y354" s="39" t="str">
        <x:v>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54" s="39" t="str">
        <x:v>不适用：当前题目不存在需要用户进一步选择的候选记忆。</x:v>
      </x:c>
      <x:c r="AA354" s="39" t="str">
        <x:v>不适用：当前题目没有指定需要排除的冲突或禁止记忆。</x:v>
      </x:c>
      <x:c r="AB354" s="39" t="str">
        <x:v>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54"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54" s="39" t="str">
        <x:v>用户的完整请求是：“相关工作表我都打开了，接着分别处理：第1件：在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54"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54" s="50" t="str">
        <x:v>not_pass</x:v>
      </x:c>
      <x:c r="AG354" s="50" t="n">
        <x:v>0</x:v>
      </x:c>
    </x:row>
    <x:row r="355" ht="216" customHeight="1">
      <x:c r="A355" s="35" t="str">
        <x:v>V3_CM29_Q04</x:v>
      </x:c>
      <x:c r="B355" s="36" t="str">
        <x:v>SG_COMP_CM29</x:v>
      </x:c>
      <x:c r="C355" s="36" t="str">
        <x:v>CM29</x:v>
      </x:c>
      <x:c r="D355" s="36" t="str">
        <x:v>员工字段拆分与姓名去重</x:v>
      </x:c>
      <x:c r="E355" s="36" t="str">
        <x:v>complementary_multi_memory</x:v>
      </x:c>
      <x:c r="F355" s="36" t="str">
        <x:v>low_overlap_paraphrase</x:v>
      </x:c>
      <x:c r="G355" s="36" t="str">
        <x:v>challenge</x:v>
      </x:c>
      <x:c r="H355" s="36" t="str">
        <x:v>困难</x:v>
      </x:c>
      <x:c r="I355" s="36" t="str">
        <x:v>37608790-6147-45d0-9f20-1137bb35703d|abed40dc-063f-4598-8ba5-9fe749c0615d</x:v>
      </x:c>
      <x:c r="J355" s="36" t="str">
        <x:v>CTX_37608790-6147-45d0-9f20-1137bb35703d|CTX_abed40dc-063f-4598-8ba5-9fe749c0615d</x:v>
      </x:c>
      <x:c r="K355" s="36" t="str">
        <x:v>STM_37608790-6147-45d0-9f20-1137bb35703d|STM_abed40dc-063f-4598-8ba5-9fe749c0615d</x:v>
      </x:c>
      <x:c r="L355" s="36" t="str"/>
      <x:c r="M355" s="36" t="str"/>
      <x:c r="N355" s="36" t="str">
        <x:v>工作流程</x:v>
      </x:c>
      <x:c r="O355" s="36" t="str">
        <x:v>短期</x:v>
      </x:c>
      <x:c r="P355" s="36" t="str">
        <x:v>["libreoffice_calc"]</x:v>
      </x:c>
      <x:c r="Q355" s="36" t="str">
        <x:v>[{"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x:v>
      </x:c>
      <x:c r="R355" s="36" t="str">
        <x:v>[]</x:v>
      </x:c>
      <x:c r="S355" s="36" t="str">
        <x:v>split_employee_identity_fields|extract_unique_names_preserving_order</x:v>
      </x:c>
      <x:c r="T355" s="36" t="str">
        <x:v>Employee_Roles_and_Ranks.xlsx|Names_Duplicate_Unique.xlsx</x:v>
      </x:c>
      <x:c r="U355" s="36" t="str">
        <x:v>retrieve_and_synthesize</x:v>
      </x:c>
      <x:c r="V355" s="36" t="str">
        <x:v>[{"point_id":"P1","description":"在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x:v>
      </x:c>
      <x:c r="W355" s="36" t="str">
        <x:v>1.00</x:v>
      </x:c>
      <x:c r="X355" s="39" t="str">
        <x:v>我想一次把这批工作做完：第1件：在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列，并保留每个姓名第一次出现的原始顺序。不同文件的规则别串在一起。</x:v>
      </x:c>
      <x:c r="Y355" s="39" t="str">
        <x:v>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55" s="39" t="str">
        <x:v>不适用：当前题目不存在需要用户进一步选择的候选记忆。</x:v>
      </x:c>
      <x:c r="AA355" s="39" t="str">
        <x:v>不适用：当前题目没有指定需要排除的冲突或禁止记忆。</x:v>
      </x:c>
      <x:c r="AB355" s="39" t="str">
        <x:v>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55"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55" s="39" t="str">
        <x:v>用户的完整请求是：“我想一次把这批工作做完：第1件：在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列，并保留每个姓名第一次出现的原始顺序。不同文件的规则别串在一起。”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55"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55" s="50" t="str">
        <x:v>not_pass</x:v>
      </x:c>
      <x:c r="AG355" s="50" t="n">
        <x:v>0</x:v>
      </x:c>
    </x:row>
    <x:row r="356" ht="216" customHeight="1">
      <x:c r="A356" s="35" t="str">
        <x:v>V3_CM29_Q05</x:v>
      </x:c>
      <x:c r="B356" s="36" t="str">
        <x:v>SG_COMP_CM29</x:v>
      </x:c>
      <x:c r="C356" s="36" t="str">
        <x:v>CM29</x:v>
      </x:c>
      <x:c r="D356" s="36" t="str">
        <x:v>员工字段拆分与姓名去重</x:v>
      </x:c>
      <x:c r="E356" s="36" t="str">
        <x:v>complementary_multi_memory</x:v>
      </x:c>
      <x:c r="F356" s="36" t="str">
        <x:v>human_constraint_emphasis</x:v>
      </x:c>
      <x:c r="G356" s="36" t="str">
        <x:v>challenge</x:v>
      </x:c>
      <x:c r="H356" s="36" t="str">
        <x:v>困难</x:v>
      </x:c>
      <x:c r="I356" s="36" t="str">
        <x:v>37608790-6147-45d0-9f20-1137bb35703d|abed40dc-063f-4598-8ba5-9fe749c0615d</x:v>
      </x:c>
      <x:c r="J356" s="36" t="str">
        <x:v>CTX_37608790-6147-45d0-9f20-1137bb35703d|CTX_abed40dc-063f-4598-8ba5-9fe749c0615d</x:v>
      </x:c>
      <x:c r="K356" s="36" t="str">
        <x:v>STM_37608790-6147-45d0-9f20-1137bb35703d|STM_abed40dc-063f-4598-8ba5-9fe749c0615d</x:v>
      </x:c>
      <x:c r="L356" s="36" t="str"/>
      <x:c r="M356" s="36" t="str"/>
      <x:c r="N356" s="36" t="str">
        <x:v>工作流程</x:v>
      </x:c>
      <x:c r="O356" s="36" t="str">
        <x:v>短期</x:v>
      </x:c>
      <x:c r="P356" s="36" t="str">
        <x:v>["libreoffice_calc"]</x:v>
      </x:c>
      <x:c r="Q356" s="36" t="str">
        <x:v>[{"step_id":"S1","app":"libreoffice_calc","action_key":"split_employee_identity_fields","input_artifacts":["Employee_Roles_and_Ranks.xlsx"],"output_artifacts":["Employee_Roles_and_Ranks.xlsx"],"depends_on":[]},{"step_id":"S2","app":"libreoffice_calc","action_key":"extract_unique_names_preserving_order","input_artifacts":["Names_Duplicate_Unique.xlsx"],"output_artifacts":["Names_Duplicate_Unique.xlsx"],"depends_on":[]}]</x:v>
      </x:c>
      <x:c r="R356" s="36" t="str">
        <x:v>[]</x:v>
      </x:c>
      <x:c r="S356" s="36" t="str">
        <x:v>split_employee_identity_fields|extract_unique_names_preserving_order</x:v>
      </x:c>
      <x:c r="T356" s="36" t="str">
        <x:v>Employee_Roles_and_Ranks.xlsx|Names_Duplicate_Unique.xlsx</x:v>
      </x:c>
      <x:c r="U356" s="36" t="str">
        <x:v>retrieve_and_synthesize</x:v>
      </x:c>
      <x:c r="V356" s="36" t="str">
        <x:v>[{"point_id":"P1","description":"在 Employee_Roles_and_Ranks.xlsx 中，把混在一个字段里的人员信息拆分，并分别填入 First Name、Last Name 和 Rank 列，同时保留原始数据。","weight":0.45,"evidence_memory_ids":["STM_37608790-6147-45d0-9f20-1137bb35703d"]},{"point_id":"P2","description":"检查 Names_Duplicate_Unique.xlsx 的 Names with duplicates 列，把去重后的姓名填入 Unique Names 列，并保留每个姓名第一次出现的原始顺序。","weight":0.45,"evidence_memory_ids":["STM_abed40dc-063f-4598-8ba5-9fe749c0615d"]},{"point_id":"P3","description":"各文件和各步骤的规则不串用，不增加无来源操作","weight":0.1,"evidence_memory_ids":["STM_37608790-6147-45d0-9f20-1137bb35703d","STM_abed40dc-063f-4598-8ba5-9fe749c0615d"]}]</x:v>
      </x:c>
      <x:c r="W356" s="36" t="str">
        <x:v>1.00</x:v>
      </x:c>
      <x:c r="X356" s="39" t="str">
        <x:v>这次按文件分别处理，要求如下：第1件：在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x:v>
      </x:c>
      <x:c r="Y356" s="39" t="str">
        <x:v>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56" s="39" t="str">
        <x:v>不适用：当前题目不存在需要用户进一步选择的候选记忆。</x:v>
      </x:c>
      <x:c r="AA356" s="39" t="str">
        <x:v>不适用：当前题目没有指定需要排除的冲突或禁止记忆。</x:v>
      </x:c>
      <x:c r="AB356" s="39" t="str">
        <x:v>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56" s="39" t="str">
        <x:v>第1项实际操作：在 Employee_Roles_and_Ranks.xlsx 中，把混在一个字段里的人员信息拆分，并分别填入 First Name、Last Name 和 Rank 列，同时保留原始数据。执行时必须满足：拆成指定三列；原始混合字段不得修改或删除。 第2项实际操作：检查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56" s="39" t="str">
        <x:v>用户的完整请求是：“这次按文件分别处理，要求如下：第1件：在 Employee_Roles_and_Ranks.xlsx 中，把混在一个字段里的人员信息拆分，并分别填入 First Name、Last Name 和 Rank 列，同时保留原始数据；第2件：检查 Names_Duplicate_Unique.xlsx 的 Names with duplicates 列，把去重后的姓名填入 Unique Names 列，并保留每个姓名第一次出现的原始顺序。” 第1个当前上下文：Employee_Roles_and_Ranks.xlsx 已在 LibreOffice Calc 中打开。 第2个当前上下文：Names_Duplicate_Unique.xlsx 已在 LibreOffice Calc 中打开。 当前请求要求在同一轮工作中得到多个结果。能够支持这些结果的完整必需记忆如下：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Employee_Roles_and_Ranks.xlsx 中，把混在一个字段里的人员信息拆分，并分别填入 First Name、Last Name 和 Rank 列，同时保留原始数据；2）检查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56" s="39" t="str">
        <x:v>本题总分为 1.00 分，各得分点独立累计，允许语义等价表达，不要求模型输出记忆 ID，也不要求逐字复述记忆原文。
第1个得分点（0.45分）：在 Employee_Roles_and_Ranks.xlsx 中，把混在一个字段里的人员信息拆分，并分别填入 First Name、Last Name 和 Rank 列，同时保留原始数据。该得分点所依据的完整证据为：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第2个得分点（0.45分）：检查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第3个得分点（0.10分）：各文件和各步骤的规则不串用，不增加无来源操作。该得分点所依据的完整证据为：
第1条记忆（短期/工作流程）：在 Employee_Roles_and_Ranks.xlsx 中，把混在一个字段里的人员信息拆分，并分别填入 First Name、Last Name 和 Rank 列，同时保留原始数据。关键约束：拆成指定三列；原始混合字段不得修改或删除。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56" s="50" t="str">
        <x:v>not_pass</x:v>
      </x:c>
      <x:c r="AG356" s="50" t="n">
        <x:v>0</x:v>
      </x:c>
    </x:row>
    <x:row r="357" ht="189" customHeight="1">
      <x:c r="A357" s="35" t="str">
        <x:v>V3_CM30_Q01</x:v>
      </x:c>
      <x:c r="B357" s="36" t="str">
        <x:v>SG_COMP_CM30</x:v>
      </x:c>
      <x:c r="C357" s="36" t="str">
        <x:v>CM30</x:v>
      </x:c>
      <x:c r="D357" s="36" t="str">
        <x:v>金额排序与 CSV 导出</x:v>
      </x:c>
      <x:c r="E357" s="36" t="str">
        <x:v>complementary_multi_memory</x:v>
      </x:c>
      <x:c r="F357" s="36" t="str">
        <x:v>human_context_explicit</x:v>
      </x:c>
      <x:c r="G357" s="36" t="str">
        <x:v>challenge</x:v>
      </x:c>
      <x:c r="H357" s="36" t="str">
        <x:v>困难</x:v>
      </x:c>
      <x:c r="I357" s="36" t="str">
        <x:v>51b11269-2ca8-4b2a-9163-f21758420e78|3aaa4e37-dc91-482e-99af-132a612d40f3</x:v>
      </x:c>
      <x:c r="J357" s="36" t="str">
        <x:v>CTX_51b11269-2ca8-4b2a-9163-f21758420e78|CTX_3aaa4e37-dc91-482e-99af-132a612d40f3</x:v>
      </x:c>
      <x:c r="K357" s="36" t="str">
        <x:v>MTM_51b11269-2ca8-4b2a-9163-f21758420e78|STM_3aaa4e37-dc91-482e-99af-132a612d40f3</x:v>
      </x:c>
      <x:c r="L357" s="36" t="str"/>
      <x:c r="M357" s="36" t="str"/>
      <x:c r="N357" s="36" t="str">
        <x:v>工作流程</x:v>
      </x:c>
      <x:c r="O357" s="36" t="str">
        <x:v>中期|短期</x:v>
      </x:c>
      <x:c r="P357" s="36" t="str">
        <x:v>["libreoffice_calc"]</x:v>
      </x:c>
      <x:c r="Q357" s="36" t="str">
        <x:v>[{"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x:v>
      </x:c>
      <x:c r="R357" s="36" t="str">
        <x:v>[]</x:v>
      </x:c>
      <x:c r="S357" s="36" t="str">
        <x:v>sort_amounts_ascending|export_current_sheet_to_csv</x:v>
      </x:c>
      <x:c r="T357" s="36" t="str">
        <x:v>Arrang_Value_min_to_max.xlsx|Export_Calc_to_CSV.xlsx</x:v>
      </x:c>
      <x:c r="U357" s="36" t="str">
        <x:v>retrieve_and_synthesize</x:v>
      </x:c>
      <x:c r="V357" s="36" t="str">
        <x:v>[{"point_id":"P1","description":"在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x:v>
      </x:c>
      <x:c r="W357" s="36" t="str">
        <x:v>1.00</x:v>
      </x:c>
      <x:c r="X357" s="39" t="str">
        <x:v>我今天要一起处理这批表。先做第1件事：在 Arrang_Value_min_to_max.xlsx 中按照金额从小到大对整条记录进行升序排序；再做第2件事：把 Export_Calc_to_CSV.xlsx 当前工作表按屏幕显示内容导出为默认格式的 CSV，其他导出选项保持不变，CSV 与原 XLSX 使用相同的主文件名。都按各自原来的规则完成。</x:v>
      </x:c>
      <x:c r="Y357" s="39" t="str">
        <x:v>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357" s="39" t="str">
        <x:v>不适用：当前题目不存在需要用户进一步选择的候选记忆。</x:v>
      </x:c>
      <x:c r="AA357" s="39" t="str">
        <x:v>不适用：当前题目没有指定需要排除的冲突或禁止记忆。</x:v>
      </x:c>
      <x:c r="AB357" s="39" t="str">
        <x:v>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C357" s="39" t="str">
        <x:v>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357" s="39" t="str">
        <x:v>用户的完整请求是：“我今天要一起处理这批表。先做第1件事：在 Arrang_Value_min_to_max.xlsx 中按照金额从小到大对整条记录进行升序排序；再做第2件事：把 Export_Calc_to_CSV.xlsx 当前工作表按屏幕显示内容导出为默认格式的 CSV，其他导出选项保持不变，CSV 与原 XLSX 使用相同的主文件名。都按各自原来的规则完成。”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E357" s="39" t="str">
        <x:v>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357" s="50" t="str">
        <x:v>not_pass</x:v>
      </x:c>
      <x:c r="AG357" s="50" t="n">
        <x:v>0</x:v>
      </x:c>
    </x:row>
    <x:row r="358" ht="189" customHeight="1">
      <x:c r="A358" s="35" t="str">
        <x:v>V3_CM30_Q02</x:v>
      </x:c>
      <x:c r="B358" s="36" t="str">
        <x:v>SG_COMP_CM30</x:v>
      </x:c>
      <x:c r="C358" s="36" t="str">
        <x:v>CM30</x:v>
      </x:c>
      <x:c r="D358" s="36" t="str">
        <x:v>金额排序与 CSV 导出</x:v>
      </x:c>
      <x:c r="E358" s="36" t="str">
        <x:v>complementary_multi_memory</x:v>
      </x:c>
      <x:c r="F358" s="36" t="str">
        <x:v>human_goal_oriented</x:v>
      </x:c>
      <x:c r="G358" s="36" t="str">
        <x:v>challenge</x:v>
      </x:c>
      <x:c r="H358" s="36" t="str">
        <x:v>困难</x:v>
      </x:c>
      <x:c r="I358" s="36" t="str">
        <x:v>51b11269-2ca8-4b2a-9163-f21758420e78|3aaa4e37-dc91-482e-99af-132a612d40f3</x:v>
      </x:c>
      <x:c r="J358" s="36" t="str">
        <x:v>CTX_51b11269-2ca8-4b2a-9163-f21758420e78|CTX_3aaa4e37-dc91-482e-99af-132a612d40f3</x:v>
      </x:c>
      <x:c r="K358" s="36" t="str">
        <x:v>MTM_51b11269-2ca8-4b2a-9163-f21758420e78|STM_3aaa4e37-dc91-482e-99af-132a612d40f3</x:v>
      </x:c>
      <x:c r="L358" s="36" t="str"/>
      <x:c r="M358" s="36" t="str"/>
      <x:c r="N358" s="36" t="str">
        <x:v>工作流程</x:v>
      </x:c>
      <x:c r="O358" s="36" t="str">
        <x:v>中期|短期</x:v>
      </x:c>
      <x:c r="P358" s="36" t="str">
        <x:v>["libreoffice_calc"]</x:v>
      </x:c>
      <x:c r="Q358" s="36" t="str">
        <x:v>[{"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x:v>
      </x:c>
      <x:c r="R358" s="36" t="str">
        <x:v>[]</x:v>
      </x:c>
      <x:c r="S358" s="36" t="str">
        <x:v>sort_amounts_ascending|export_current_sheet_to_csv</x:v>
      </x:c>
      <x:c r="T358" s="36" t="str">
        <x:v>Arrang_Value_min_to_max.xlsx|Export_Calc_to_CSV.xlsx</x:v>
      </x:c>
      <x:c r="U358" s="36" t="str">
        <x:v>retrieve_and_synthesize</x:v>
      </x:c>
      <x:c r="V358" s="36" t="str">
        <x:v>[{"point_id":"P1","description":"在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x:v>
      </x:c>
      <x:c r="W358" s="36" t="str">
        <x:v>1.00</x:v>
      </x:c>
      <x:c r="X358" s="39" t="str">
        <x:v>这批文件马上要交付，帮我把几项工作一起收尾：第1件：在 Arrang_Value_min_to_max.xlsx 中按照金额从小到大对整条记录进行升序排序；第2件：把 Export_Calc_to_CSV.xlsx 当前工作表按屏幕显示内容导出为默认格式的 CSV，其他导出选项保持不变，CSV 与原 XLSX 使用相同的主文件名。</x:v>
      </x:c>
      <x:c r="Y358" s="39" t="str">
        <x:v>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358" s="39" t="str">
        <x:v>不适用：当前题目不存在需要用户进一步选择的候选记忆。</x:v>
      </x:c>
      <x:c r="AA358" s="39" t="str">
        <x:v>不适用：当前题目没有指定需要排除的冲突或禁止记忆。</x:v>
      </x:c>
      <x:c r="AB358" s="39" t="str">
        <x:v>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C358" s="39" t="str">
        <x:v>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358" s="39" t="str">
        <x:v>用户的完整请求是：“这批文件马上要交付，帮我把几项工作一起收尾：第1件：在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E358" s="39" t="str">
        <x:v>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358" s="50" t="str">
        <x:v>not_pass</x:v>
      </x:c>
      <x:c r="AG358" s="50" t="n">
        <x:v>0</x:v>
      </x:c>
    </x:row>
    <x:row r="359" ht="189" customHeight="1">
      <x:c r="A359" s="35" t="str">
        <x:v>V3_CM30_Q03</x:v>
      </x:c>
      <x:c r="B359" s="36" t="str">
        <x:v>SG_COMP_CM30</x:v>
      </x:c>
      <x:c r="C359" s="36" t="str">
        <x:v>CM30</x:v>
      </x:c>
      <x:c r="D359" s="36" t="str">
        <x:v>金额排序与 CSV 导出</x:v>
      </x:c>
      <x:c r="E359" s="36" t="str">
        <x:v>complementary_multi_memory</x:v>
      </x:c>
      <x:c r="F359" s="36" t="str">
        <x:v>contextual_ellipsis</x:v>
      </x:c>
      <x:c r="G359" s="36" t="str">
        <x:v>challenge</x:v>
      </x:c>
      <x:c r="H359" s="36" t="str">
        <x:v>困难</x:v>
      </x:c>
      <x:c r="I359" s="36" t="str">
        <x:v>51b11269-2ca8-4b2a-9163-f21758420e78|3aaa4e37-dc91-482e-99af-132a612d40f3</x:v>
      </x:c>
      <x:c r="J359" s="36" t="str">
        <x:v>CTX_51b11269-2ca8-4b2a-9163-f21758420e78|CTX_3aaa4e37-dc91-482e-99af-132a612d40f3</x:v>
      </x:c>
      <x:c r="K359" s="36" t="str">
        <x:v>MTM_51b11269-2ca8-4b2a-9163-f21758420e78|STM_3aaa4e37-dc91-482e-99af-132a612d40f3</x:v>
      </x:c>
      <x:c r="L359" s="36" t="str"/>
      <x:c r="M359" s="36" t="str"/>
      <x:c r="N359" s="36" t="str">
        <x:v>工作流程</x:v>
      </x:c>
      <x:c r="O359" s="36" t="str">
        <x:v>中期|短期</x:v>
      </x:c>
      <x:c r="P359" s="36" t="str">
        <x:v>["libreoffice_calc"]</x:v>
      </x:c>
      <x:c r="Q359" s="36" t="str">
        <x:v>[{"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x:v>
      </x:c>
      <x:c r="R359" s="36" t="str">
        <x:v>[]</x:v>
      </x:c>
      <x:c r="S359" s="36" t="str">
        <x:v>sort_amounts_ascending|export_current_sheet_to_csv</x:v>
      </x:c>
      <x:c r="T359" s="36" t="str">
        <x:v>Arrang_Value_min_to_max.xlsx|Export_Calc_to_CSV.xlsx</x:v>
      </x:c>
      <x:c r="U359" s="36" t="str">
        <x:v>retrieve_and_synthesize</x:v>
      </x:c>
      <x:c r="V359" s="36" t="str">
        <x:v>[{"point_id":"P1","description":"在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x:v>
      </x:c>
      <x:c r="W359" s="36" t="str">
        <x:v>1.00</x:v>
      </x:c>
      <x:c r="X359" s="39" t="str">
        <x:v>相关工作表我都打开了，接着分别处理：第1件：在 Arrang_Value_min_to_max.xlsx 中按照金额从小到大对整条记录进行升序排序；第2件：把 Export_Calc_to_CSV.xlsx 当前工作表按屏幕显示内容导出为默认格式的 CSV，其他导出选项保持不变，CSV 与原 XLSX 使用相同的主文件名。</x:v>
      </x:c>
      <x:c r="Y359" s="39" t="str">
        <x:v>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359" s="39" t="str">
        <x:v>不适用：当前题目不存在需要用户进一步选择的候选记忆。</x:v>
      </x:c>
      <x:c r="AA359" s="39" t="str">
        <x:v>不适用：当前题目没有指定需要排除的冲突或禁止记忆。</x:v>
      </x:c>
      <x:c r="AB359" s="39" t="str">
        <x:v>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C359" s="39" t="str">
        <x:v>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359" s="39" t="str">
        <x:v>用户的完整请求是：“相关工作表我都打开了，接着分别处理：第1件：在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E359" s="39" t="str">
        <x:v>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359" s="50" t="str">
        <x:v>not_pass</x:v>
      </x:c>
      <x:c r="AG359" s="50" t="n">
        <x:v>0</x:v>
      </x:c>
    </x:row>
    <x:row r="360" ht="189" customHeight="1">
      <x:c r="A360" s="35" t="str">
        <x:v>V3_CM30_Q04</x:v>
      </x:c>
      <x:c r="B360" s="36" t="str">
        <x:v>SG_COMP_CM30</x:v>
      </x:c>
      <x:c r="C360" s="36" t="str">
        <x:v>CM30</x:v>
      </x:c>
      <x:c r="D360" s="36" t="str">
        <x:v>金额排序与 CSV 导出</x:v>
      </x:c>
      <x:c r="E360" s="36" t="str">
        <x:v>complementary_multi_memory</x:v>
      </x:c>
      <x:c r="F360" s="36" t="str">
        <x:v>low_overlap_paraphrase</x:v>
      </x:c>
      <x:c r="G360" s="36" t="str">
        <x:v>challenge</x:v>
      </x:c>
      <x:c r="H360" s="36" t="str">
        <x:v>困难</x:v>
      </x:c>
      <x:c r="I360" s="36" t="str">
        <x:v>51b11269-2ca8-4b2a-9163-f21758420e78|3aaa4e37-dc91-482e-99af-132a612d40f3</x:v>
      </x:c>
      <x:c r="J360" s="36" t="str">
        <x:v>CTX_51b11269-2ca8-4b2a-9163-f21758420e78|CTX_3aaa4e37-dc91-482e-99af-132a612d40f3</x:v>
      </x:c>
      <x:c r="K360" s="36" t="str">
        <x:v>MTM_51b11269-2ca8-4b2a-9163-f21758420e78|STM_3aaa4e37-dc91-482e-99af-132a612d40f3</x:v>
      </x:c>
      <x:c r="L360" s="36" t="str"/>
      <x:c r="M360" s="36" t="str"/>
      <x:c r="N360" s="36" t="str">
        <x:v>工作流程</x:v>
      </x:c>
      <x:c r="O360" s="36" t="str">
        <x:v>中期|短期</x:v>
      </x:c>
      <x:c r="P360" s="36" t="str">
        <x:v>["libreoffice_calc"]</x:v>
      </x:c>
      <x:c r="Q360" s="36" t="str">
        <x:v>[{"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x:v>
      </x:c>
      <x:c r="R360" s="36" t="str">
        <x:v>[]</x:v>
      </x:c>
      <x:c r="S360" s="36" t="str">
        <x:v>sort_amounts_ascending|export_current_sheet_to_csv</x:v>
      </x:c>
      <x:c r="T360" s="36" t="str">
        <x:v>Arrang_Value_min_to_max.xlsx|Export_Calc_to_CSV.xlsx</x:v>
      </x:c>
      <x:c r="U360" s="36" t="str">
        <x:v>retrieve_and_synthesize</x:v>
      </x:c>
      <x:c r="V360" s="36" t="str">
        <x:v>[{"point_id":"P1","description":"在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x:v>
      </x:c>
      <x:c r="W360" s="36" t="str">
        <x:v>1.00</x:v>
      </x:c>
      <x:c r="X360" s="39" t="str">
        <x:v>我想一次把这批工作做完：第1件：在 Arrang_Value_min_to_max.xlsx 中按照金额从小到大对整条记录进行升序排序；第2件：把 Export_Calc_to_CSV.xlsx 当前工作表按屏幕显示内容导出为默认格式的 CSV，其他导出选项保持不变，CSV 与原 XLSX 使用相同的主文件名。不同文件的规则别串在一起。</x:v>
      </x:c>
      <x:c r="Y360" s="39" t="str">
        <x:v>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360" s="39" t="str">
        <x:v>不适用：当前题目不存在需要用户进一步选择的候选记忆。</x:v>
      </x:c>
      <x:c r="AA360" s="39" t="str">
        <x:v>不适用：当前题目没有指定需要排除的冲突或禁止记忆。</x:v>
      </x:c>
      <x:c r="AB360" s="39" t="str">
        <x:v>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C360" s="39" t="str">
        <x:v>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360" s="39" t="str">
        <x:v>用户的完整请求是：“我想一次把这批工作做完：第1件：在 Arrang_Value_min_to_max.xlsx 中按照金额从小到大对整条记录进行升序排序；第2件：把 Export_Calc_to_CSV.xlsx 当前工作表按屏幕显示内容导出为默认格式的 CSV，其他导出选项保持不变，CSV 与原 XLSX 使用相同的主文件名。不同文件的规则别串在一起。”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E360" s="39" t="str">
        <x:v>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360" s="50" t="str">
        <x:v>not_pass</x:v>
      </x:c>
      <x:c r="AG360" s="50" t="n">
        <x:v>0</x:v>
      </x:c>
    </x:row>
    <x:row r="361" ht="189" customHeight="1">
      <x:c r="A361" s="35" t="str">
        <x:v>V3_CM30_Q05</x:v>
      </x:c>
      <x:c r="B361" s="36" t="str">
        <x:v>SG_COMP_CM30</x:v>
      </x:c>
      <x:c r="C361" s="36" t="str">
        <x:v>CM30</x:v>
      </x:c>
      <x:c r="D361" s="36" t="str">
        <x:v>金额排序与 CSV 导出</x:v>
      </x:c>
      <x:c r="E361" s="36" t="str">
        <x:v>complementary_multi_memory</x:v>
      </x:c>
      <x:c r="F361" s="36" t="str">
        <x:v>human_constraint_emphasis</x:v>
      </x:c>
      <x:c r="G361" s="36" t="str">
        <x:v>challenge</x:v>
      </x:c>
      <x:c r="H361" s="36" t="str">
        <x:v>困难</x:v>
      </x:c>
      <x:c r="I361" s="36" t="str">
        <x:v>51b11269-2ca8-4b2a-9163-f21758420e78|3aaa4e37-dc91-482e-99af-132a612d40f3</x:v>
      </x:c>
      <x:c r="J361" s="36" t="str">
        <x:v>CTX_51b11269-2ca8-4b2a-9163-f21758420e78|CTX_3aaa4e37-dc91-482e-99af-132a612d40f3</x:v>
      </x:c>
      <x:c r="K361" s="36" t="str">
        <x:v>MTM_51b11269-2ca8-4b2a-9163-f21758420e78|STM_3aaa4e37-dc91-482e-99af-132a612d40f3</x:v>
      </x:c>
      <x:c r="L361" s="36" t="str"/>
      <x:c r="M361" s="36" t="str"/>
      <x:c r="N361" s="36" t="str">
        <x:v>工作流程</x:v>
      </x:c>
      <x:c r="O361" s="36" t="str">
        <x:v>中期|短期</x:v>
      </x:c>
      <x:c r="P361" s="36" t="str">
        <x:v>["libreoffice_calc"]</x:v>
      </x:c>
      <x:c r="Q361" s="36" t="str">
        <x:v>[{"step_id":"S1","app":"libreoffice_calc","action_key":"sort_amounts_ascending","input_artifacts":["Arrang_Value_min_to_max.xlsx"],"output_artifacts":["Arrang_Value_min_to_max.xlsx"],"depends_on":[]},{"step_id":"S2","app":"libreoffice_calc","action_key":"export_current_sheet_to_csv","input_artifacts":["Export_Calc_to_CSV.xlsx"],"output_artifacts":["Export_Calc_to_CSV.csv"],"depends_on":[]}]</x:v>
      </x:c>
      <x:c r="R361" s="36" t="str">
        <x:v>[]</x:v>
      </x:c>
      <x:c r="S361" s="36" t="str">
        <x:v>sort_amounts_ascending|export_current_sheet_to_csv</x:v>
      </x:c>
      <x:c r="T361" s="36" t="str">
        <x:v>Arrang_Value_min_to_max.xlsx|Export_Calc_to_CSV.xlsx</x:v>
      </x:c>
      <x:c r="U361" s="36" t="str">
        <x:v>retrieve_and_synthesize</x:v>
      </x:c>
      <x:c r="V361" s="36" t="str">
        <x:v>[{"point_id":"P1","description":"在 Arrang_Value_min_to_max.xlsx 中按照金额从小到大对整条记录进行升序排序。","weight":0.45,"evidence_memory_ids":["MTM_51b11269-2ca8-4b2a-9163-f21758420e78"]},{"point_id":"P2","description":"把 Export_Calc_to_CSV.xlsx 当前工作表按屏幕显示内容导出为默认格式的 CSV，其他导出选项保持不变，CSV 与原 XLSX 使用相同的主文件名。","weight":0.45,"evidence_memory_ids":["STM_3aaa4e37-dc91-482e-99af-132a612d40f3"]},{"point_id":"P3","description":"各文件和各步骤的规则不串用，不增加无来源操作","weight":0.1,"evidence_memory_ids":["MTM_51b11269-2ca8-4b2a-9163-f21758420e78","STM_3aaa4e37-dc91-482e-99af-132a612d40f3"]}]</x:v>
      </x:c>
      <x:c r="W361" s="36" t="str">
        <x:v>1.00</x:v>
      </x:c>
      <x:c r="X361" s="39" t="str">
        <x:v>这次按文件分别处理，要求如下：第1件：在 Arrang_Value_min_to_max.xlsx 中按照金额从小到大对整条记录进行升序排序；第2件：把 Export_Calc_to_CSV.xlsx 当前工作表按屏幕显示内容导出为默认格式的 CSV，其他导出选项保持不变，CSV 与原 XLSX 使用相同的主文件名。</x:v>
      </x:c>
      <x:c r="Y361" s="39" t="str">
        <x:v>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361" s="39" t="str">
        <x:v>不适用：当前题目不存在需要用户进一步选择的候选记忆。</x:v>
      </x:c>
      <x:c r="AA361" s="39" t="str">
        <x:v>不适用：当前题目没有指定需要排除的冲突或禁止记忆。</x:v>
      </x:c>
      <x:c r="AB361" s="39" t="str">
        <x:v>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C361" s="39" t="str">
        <x:v>第1项实际操作：在 Arrang_Value_min_to_max.xlsx 中按照金额从小到大对整条记录进行升序排序。执行时必须满足：按金额升序；必须移动整条记录，不能只排序单个金额列。 第2项实际操作：把 Export_Calc_to_CSV.xlsx 当前工作表按屏幕显示内容导出为默认格式的 CSV，其他导出选项保持不变，CSV 与原 XLSX 使用相同的主文件名。执行时必须满足：只导出当前工作表；保持默认 CSV 选项；文件主名与原 XLSX 相同。</x:v>
      </x:c>
      <x:c r="AD361" s="39" t="str">
        <x:v>用户的完整请求是：“这次按文件分别处理，要求如下：第1件：在 Arrang_Value_min_to_max.xlsx 中按照金额从小到大对整条记录进行升序排序；第2件：把 Export_Calc_to_CSV.xlsx 当前工作表按屏幕显示内容导出为默认格式的 CSV，其他导出选项保持不变，CSV 与原 XLSX 使用相同的主文件名。” 第1个当前上下文：Arrang_Value_min_to_max.xlsx 已在 LibreOffice Calc 中打开。 第2个当前上下文：Export_Calc_to_CSV.xlsx 已在 LibreOffice Calc 中打开。 当前请求要求在同一轮工作中得到多个结果。能够支持这些结果的完整必需记忆如下：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Arrang_Value_min_to_max.xlsx 中按照金额从小到大对整条记录进行升序排序；2）把 Export_Calc_to_CSV.xlsx 当前工作表按屏幕显示内容导出为默认格式的 CSV，其他导出选项保持不变，CSV 与原 XLSX 使用相同的主文件名。每项操作必须分别遵守其对应文件、工作表、范围、格式和输出约束，不能用其中一项替代另一项，也不能把不同文件的规则混用。”</x:v>
      </x:c>
      <x:c r="AE361" s="39" t="str">
        <x:v>本题总分为 1.00 分，各得分点独立累计，允许语义等价表达，不要求模型输出记忆 ID，也不要求逐字复述记忆原文。
第1个得分点（0.45分）：在 Arrang_Value_min_to_max.xlsx 中按照金额从小到大对整条记录进行升序排序。该得分点所依据的完整证据为：
第1条记忆（中期/工作流程）：在 Arrang_Value_min_to_max.xlsx 中按照金额从小到大对整条记录进行升序排序。关键约束：按金额升序；必须移动整条记录，不能只排序单个金额列。
第2个得分点（0.45分）：把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第3个得分点（0.10分）：各文件和各步骤的规则不串用，不增加无来源操作。该得分点所依据的完整证据为：
第1条记忆（中期/工作流程）：在 Arrang_Value_min_to_max.xlsx 中按照金额从小到大对整条记录进行升序排序。关键约束：按金额升序；必须移动整条记录，不能只排序单个金额列。
第2条记忆（短期/工作流程）：把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人工复审时，应依据模型最终给出的信息和实际操作是否满足上述每个得分点分别给分；只命中记忆 ID 但没有形成对应结论不能获得该结论分，形成了正确结论但表达方式不同则不应扣分。</x:v>
      </x:c>
      <x:c r="AF361" s="50" t="str">
        <x:v>not_pass</x:v>
      </x:c>
      <x:c r="AG361" s="50" t="n">
        <x:v>0</x:v>
      </x:c>
    </x:row>
    <x:row r="362" ht="175.5" customHeight="1">
      <x:c r="A362" s="35" t="str">
        <x:v>MULTI_MM01_HQ1</x:v>
      </x:c>
      <x:c r="B362" s="36" t="str">
        <x:v>SG_COMP_MM01</x:v>
      </x:c>
      <x:c r="C362" s="36" t="str">
        <x:v>MM01</x:v>
      </x:c>
      <x:c r="D362" s="36" t="str">
        <x:v>v2_MM01</x:v>
      </x:c>
      <x:c r="E362" s="36" t="str">
        <x:v>complementary_multi_memory</x:v>
      </x:c>
      <x:c r="F362" s="36" t="str">
        <x:v>human_context_explicit</x:v>
      </x:c>
      <x:c r="G362" s="36" t="str">
        <x:v>challenge</x:v>
      </x:c>
      <x:c r="H362" s="36" t="str">
        <x:v>困难</x:v>
      </x:c>
      <x:c r="I362" s="36" t="str">
        <x:v>1e8df695-bd1b-45b3-b557-e7d599cf7597|12382c62-0cd1-4bf2-bdc8-1d20bf9b2371</x:v>
      </x:c>
      <x:c r="J362" s="36" t="str">
        <x:v>CTX_1e8df695-bd1b-45b3-b557-e7d599cf7597|CTX_12382c62-0cd1-4bf2-bdc8-1d20bf9b2371</x:v>
      </x:c>
      <x:c r="K362" s="36" t="str">
        <x:v>MTM_1e8df695-bd1b-45b3-b557-e7d599cf7597|MTM_12382c62-0cd1-4bf2-bdc8-1d20bf9b2371</x:v>
      </x:c>
      <x:c r="L362" s="36" t="str"/>
      <x:c r="M362" s="36" t="str"/>
      <x:c r="N362" s="36" t="str">
        <x:v>知识|可复用模板</x:v>
      </x:c>
      <x:c r="O362" s="36" t="str">
        <x:v>中期</x:v>
      </x:c>
      <x:c r="P362" s="36" t="str">
        <x:v>["libreoffice_calc"]</x:v>
      </x:c>
      <x:c r="Q362" s="36" t="str">
        <x:v>[{"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x:v>
      </x:c>
      <x:c r="R362" s="36" t="str">
        <x:v>[]</x:v>
      </x:c>
      <x:c r="S362" s="36" t="str">
        <x:v>calculate_weekly_profit|create_sales_cogs_clustered_column_chart</x:v>
      </x:c>
      <x:c r="T362" s="36" t="str">
        <x:v>WeeklySales.xlsx</x:v>
      </x:c>
      <x:c r="U362" s="36" t="str">
        <x:v>retrieve_and_synthesize</x:v>
      </x:c>
      <x:c r="V362" s="36" t="str">
        <x:v>[{"point_id":"P1","description":"在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x:v>
      </x:c>
      <x:c r="W362" s="36" t="str">
        <x:v>1.00</x:v>
      </x:c>
      <x:c r="X362" s="39" t="str">
        <x:v>我在整理 WeeklySales.xlsx 的周报。还是先把每周利润补出来，再按之前的办法做 Sales 和 COGS 的对比图，图放到 Sheet2。</x:v>
      </x:c>
      <x:c r="Y362" s="39" t="str">
        <x:v>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x:v>
      </x:c>
      <x:c r="Z362" s="39" t="str">
        <x:v>不适用：当前题目不存在需要用户进一步选择的候选记忆。</x:v>
      </x:c>
      <x:c r="AA362" s="39" t="str">
        <x:v>不适用：当前题目没有指定需要排除的冲突或禁止记忆。</x:v>
      </x:c>
      <x:c r="AB362" s="39" t="str">
        <x:v>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362" s="39" t="str">
        <x:v>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x:v>
      </x:c>
      <x:c r="AD362" s="39" t="str">
        <x:v>用户的完整请求是：“我在整理 WeeklySales.xlsx 的周报。还是先把每周利润补出来，再按之前的办法做 Sales 和 COGS 的对比图，图放到 Sheet2。”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362" s="39" t="str">
        <x:v>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362" s="50" t="str">
        <x:v>not_pass</x:v>
      </x:c>
      <x:c r="AG362" s="50" t="n">
        <x:v>0</x:v>
      </x:c>
    </x:row>
    <x:row r="363" ht="175.5" customHeight="1">
      <x:c r="A363" s="35" t="str">
        <x:v>MULTI_MM01_HQ2</x:v>
      </x:c>
      <x:c r="B363" s="36" t="str">
        <x:v>SG_COMP_MM01</x:v>
      </x:c>
      <x:c r="C363" s="36" t="str">
        <x:v>MM01</x:v>
      </x:c>
      <x:c r="D363" s="36" t="str">
        <x:v>v2_MM01</x:v>
      </x:c>
      <x:c r="E363" s="36" t="str">
        <x:v>complementary_multi_memory</x:v>
      </x:c>
      <x:c r="F363" s="36" t="str">
        <x:v>human_goal_oriented</x:v>
      </x:c>
      <x:c r="G363" s="36" t="str">
        <x:v>challenge</x:v>
      </x:c>
      <x:c r="H363" s="36" t="str">
        <x:v>困难</x:v>
      </x:c>
      <x:c r="I363" s="36" t="str">
        <x:v>1e8df695-bd1b-45b3-b557-e7d599cf7597|12382c62-0cd1-4bf2-bdc8-1d20bf9b2371</x:v>
      </x:c>
      <x:c r="J363" s="36" t="str">
        <x:v>CTX_1e8df695-bd1b-45b3-b557-e7d599cf7597|CTX_12382c62-0cd1-4bf2-bdc8-1d20bf9b2371</x:v>
      </x:c>
      <x:c r="K363" s="36" t="str">
        <x:v>MTM_1e8df695-bd1b-45b3-b557-e7d599cf7597|MTM_12382c62-0cd1-4bf2-bdc8-1d20bf9b2371</x:v>
      </x:c>
      <x:c r="L363" s="36" t="str"/>
      <x:c r="M363" s="36" t="str"/>
      <x:c r="N363" s="36" t="str">
        <x:v>知识|可复用模板</x:v>
      </x:c>
      <x:c r="O363" s="36" t="str">
        <x:v>中期</x:v>
      </x:c>
      <x:c r="P363" s="36" t="str">
        <x:v>["libreoffice_calc"]</x:v>
      </x:c>
      <x:c r="Q363" s="36" t="str">
        <x:v>[{"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x:v>
      </x:c>
      <x:c r="R363" s="36" t="str">
        <x:v>[]</x:v>
      </x:c>
      <x:c r="S363" s="36" t="str">
        <x:v>calculate_weekly_profit|create_sales_cogs_clustered_column_chart</x:v>
      </x:c>
      <x:c r="T363" s="36" t="str">
        <x:v>WeeklySales.xlsx</x:v>
      </x:c>
      <x:c r="U363" s="36" t="str">
        <x:v>retrieve_and_synthesize</x:v>
      </x:c>
      <x:c r="V363" s="36" t="str">
        <x:v>[{"point_id":"P1","description":"在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x:v>
      </x:c>
      <x:c r="W363" s="36" t="str">
        <x:v>1.00</x:v>
      </x:c>
      <x:c r="X363" s="39" t="str">
        <x:v>老板既要看每周赚了多少，也要看销售额和成本的对比。WeeklySales 这份表按我们以前的版式一起整理，图名还是原来的英文标题。</x:v>
      </x:c>
      <x:c r="Y363" s="39" t="str">
        <x:v>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x:v>
      </x:c>
      <x:c r="Z363" s="39" t="str">
        <x:v>不适用：当前题目不存在需要用户进一步选择的候选记忆。</x:v>
      </x:c>
      <x:c r="AA363" s="39" t="str">
        <x:v>不适用：当前题目没有指定需要排除的冲突或禁止记忆。</x:v>
      </x:c>
      <x:c r="AB363" s="39" t="str">
        <x:v>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363" s="39" t="str">
        <x:v>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x:v>
      </x:c>
      <x:c r="AD363" s="39" t="str">
        <x:v>用户的完整请求是：“老板既要看每周赚了多少，也要看销售额和成本的对比。WeeklySales 这份表按我们以前的版式一起整理，图名还是原来的英文标题。”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363" s="39" t="str">
        <x:v>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363" s="50" t="str">
        <x:v>not_pass</x:v>
      </x:c>
      <x:c r="AG363" s="50" t="n">
        <x:v>0</x:v>
      </x:c>
    </x:row>
    <x:row r="364" ht="175.5" customHeight="1">
      <x:c r="A364" s="35" t="str">
        <x:v>MULTI_MM01_HQ3</x:v>
      </x:c>
      <x:c r="B364" s="36" t="str">
        <x:v>SG_COMP_MM01</x:v>
      </x:c>
      <x:c r="C364" s="36" t="str">
        <x:v>MM01</x:v>
      </x:c>
      <x:c r="D364" s="36" t="str">
        <x:v>v2_MM01</x:v>
      </x:c>
      <x:c r="E364" s="36" t="str">
        <x:v>complementary_multi_memory</x:v>
      </x:c>
      <x:c r="F364" s="36" t="str">
        <x:v>contextual_ellipsis</x:v>
      </x:c>
      <x:c r="G364" s="36" t="str">
        <x:v>challenge</x:v>
      </x:c>
      <x:c r="H364" s="36" t="str">
        <x:v>困难</x:v>
      </x:c>
      <x:c r="I364" s="36" t="str">
        <x:v>1e8df695-bd1b-45b3-b557-e7d599cf7597|12382c62-0cd1-4bf2-bdc8-1d20bf9b2371</x:v>
      </x:c>
      <x:c r="J364" s="36" t="str">
        <x:v>CTX_1e8df695-bd1b-45b3-b557-e7d599cf7597|CTX_12382c62-0cd1-4bf2-bdc8-1d20bf9b2371</x:v>
      </x:c>
      <x:c r="K364" s="36" t="str">
        <x:v>MTM_1e8df695-bd1b-45b3-b557-e7d599cf7597|MTM_12382c62-0cd1-4bf2-bdc8-1d20bf9b2371</x:v>
      </x:c>
      <x:c r="L364" s="36" t="str"/>
      <x:c r="M364" s="36" t="str"/>
      <x:c r="N364" s="36" t="str">
        <x:v>知识|可复用模板</x:v>
      </x:c>
      <x:c r="O364" s="36" t="str">
        <x:v>中期</x:v>
      </x:c>
      <x:c r="P364" s="36" t="str">
        <x:v>["libreoffice_calc"]</x:v>
      </x:c>
      <x:c r="Q364" s="36" t="str">
        <x:v>[{"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x:v>
      </x:c>
      <x:c r="R364" s="36" t="str">
        <x:v>[]</x:v>
      </x:c>
      <x:c r="S364" s="36" t="str">
        <x:v>calculate_weekly_profit|create_sales_cogs_clustered_column_chart</x:v>
      </x:c>
      <x:c r="T364" s="36" t="str">
        <x:v>WeeklySales.xlsx</x:v>
      </x:c>
      <x:c r="U364" s="36" t="str">
        <x:v>retrieve_and_synthesize</x:v>
      </x:c>
      <x:c r="V364" s="36" t="str">
        <x:v>[{"point_id":"P1","description":"在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x:v>
      </x:c>
      <x:c r="W364" s="36" t="str">
        <x:v>1.00</x:v>
      </x:c>
      <x:c r="X364" s="39" t="str">
        <x:v>这张周销售表我已经打开了，成本右边那列先算好，再到第二张表放一张周度双指标柱形图。</x:v>
      </x:c>
      <x:c r="Y364" s="39" t="str">
        <x:v>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x:v>
      </x:c>
      <x:c r="Z364" s="39" t="str">
        <x:v>不适用：当前题目不存在需要用户进一步选择的候选记忆。</x:v>
      </x:c>
      <x:c r="AA364" s="39" t="str">
        <x:v>不适用：当前题目没有指定需要排除的冲突或禁止记忆。</x:v>
      </x:c>
      <x:c r="AB364" s="39" t="str">
        <x:v>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364" s="39" t="str">
        <x:v>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x:v>
      </x:c>
      <x:c r="AD364" s="39" t="str">
        <x:v>用户的完整请求是：“这张周销售表我已经打开了，成本右边那列先算好，再到第二张表放一张周度双指标柱形图。”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364" s="39" t="str">
        <x:v>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364" s="50" t="str">
        <x:v>not_pass</x:v>
      </x:c>
      <x:c r="AG364" s="50" t="n">
        <x:v>0</x:v>
      </x:c>
    </x:row>
    <x:row r="365" ht="175.5" customHeight="1">
      <x:c r="A365" s="35" t="str">
        <x:v>MULTI_MM01_HQ4</x:v>
      </x:c>
      <x:c r="B365" s="36" t="str">
        <x:v>SG_COMP_MM01</x:v>
      </x:c>
      <x:c r="C365" s="36" t="str">
        <x:v>MM01</x:v>
      </x:c>
      <x:c r="D365" s="36" t="str">
        <x:v>v2_MM01</x:v>
      </x:c>
      <x:c r="E365" s="36" t="str">
        <x:v>complementary_multi_memory</x:v>
      </x:c>
      <x:c r="F365" s="36" t="str">
        <x:v>low_overlap_paraphrase</x:v>
      </x:c>
      <x:c r="G365" s="36" t="str">
        <x:v>challenge</x:v>
      </x:c>
      <x:c r="H365" s="36" t="str">
        <x:v>困难</x:v>
      </x:c>
      <x:c r="I365" s="36" t="str">
        <x:v>1e8df695-bd1b-45b3-b557-e7d599cf7597|12382c62-0cd1-4bf2-bdc8-1d20bf9b2371</x:v>
      </x:c>
      <x:c r="J365" s="36" t="str">
        <x:v>CTX_1e8df695-bd1b-45b3-b557-e7d599cf7597|CTX_12382c62-0cd1-4bf2-bdc8-1d20bf9b2371</x:v>
      </x:c>
      <x:c r="K365" s="36" t="str">
        <x:v>MTM_1e8df695-bd1b-45b3-b557-e7d599cf7597|MTM_12382c62-0cd1-4bf2-bdc8-1d20bf9b2371</x:v>
      </x:c>
      <x:c r="L365" s="36" t="str"/>
      <x:c r="M365" s="36" t="str"/>
      <x:c r="N365" s="36" t="str">
        <x:v>知识|可复用模板</x:v>
      </x:c>
      <x:c r="O365" s="36" t="str">
        <x:v>中期</x:v>
      </x:c>
      <x:c r="P365" s="36" t="str">
        <x:v>["libreoffice_calc"]</x:v>
      </x:c>
      <x:c r="Q365" s="36" t="str">
        <x:v>[{"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x:v>
      </x:c>
      <x:c r="R365" s="36" t="str">
        <x:v>[]</x:v>
      </x:c>
      <x:c r="S365" s="36" t="str">
        <x:v>calculate_weekly_profit|create_sales_cogs_clustered_column_chart</x:v>
      </x:c>
      <x:c r="T365" s="36" t="str">
        <x:v>WeeklySales.xlsx</x:v>
      </x:c>
      <x:c r="U365" s="36" t="str">
        <x:v>retrieve_and_synthesize</x:v>
      </x:c>
      <x:c r="V365" s="36" t="str">
        <x:v>[{"point_id":"P1","description":"在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x:v>
      </x:c>
      <x:c r="W365" s="36" t="str">
        <x:v>1.00</x:v>
      </x:c>
      <x:c r="X365" s="39" t="str">
        <x:v>我要一眼看出每周的毛利，同时保留收入和成本的横向比较。照我们以前交周报的方式把两个部分都做好。</x:v>
      </x:c>
      <x:c r="Y365" s="39" t="str">
        <x:v>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x:v>
      </x:c>
      <x:c r="Z365" s="39" t="str">
        <x:v>不适用：当前题目不存在需要用户进一步选择的候选记忆。</x:v>
      </x:c>
      <x:c r="AA365" s="39" t="str">
        <x:v>不适用：当前题目没有指定需要排除的冲突或禁止记忆。</x:v>
      </x:c>
      <x:c r="AB365" s="39" t="str">
        <x:v>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365" s="39" t="str">
        <x:v>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x:v>
      </x:c>
      <x:c r="AD365" s="39" t="str">
        <x:v>用户的完整请求是：“我要一眼看出每周的毛利，同时保留收入和成本的横向比较。照我们以前交周报的方式把两个部分都做好。”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365" s="39" t="str">
        <x:v>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365" s="50" t="str">
        <x:v>not_pass</x:v>
      </x:c>
      <x:c r="AG365" s="50" t="n">
        <x:v>0</x:v>
      </x:c>
    </x:row>
    <x:row r="366" ht="175.5" customHeight="1">
      <x:c r="A366" s="35" t="str">
        <x:v>MULTI_MM01_HQ5</x:v>
      </x:c>
      <x:c r="B366" s="36" t="str">
        <x:v>SG_COMP_MM01</x:v>
      </x:c>
      <x:c r="C366" s="36" t="str">
        <x:v>MM01</x:v>
      </x:c>
      <x:c r="D366" s="36" t="str">
        <x:v>v2_MM01</x:v>
      </x:c>
      <x:c r="E366" s="36" t="str">
        <x:v>complementary_multi_memory</x:v>
      </x:c>
      <x:c r="F366" s="36" t="str">
        <x:v>human_constraint_emphasis</x:v>
      </x:c>
      <x:c r="G366" s="36" t="str">
        <x:v>challenge</x:v>
      </x:c>
      <x:c r="H366" s="36" t="str">
        <x:v>困难</x:v>
      </x:c>
      <x:c r="I366" s="36" t="str">
        <x:v>1e8df695-bd1b-45b3-b557-e7d599cf7597|12382c62-0cd1-4bf2-bdc8-1d20bf9b2371</x:v>
      </x:c>
      <x:c r="J366" s="36" t="str">
        <x:v>CTX_1e8df695-bd1b-45b3-b557-e7d599cf7597|CTX_12382c62-0cd1-4bf2-bdc8-1d20bf9b2371</x:v>
      </x:c>
      <x:c r="K366" s="36" t="str">
        <x:v>MTM_1e8df695-bd1b-45b3-b557-e7d599cf7597|MTM_12382c62-0cd1-4bf2-bdc8-1d20bf9b2371</x:v>
      </x:c>
      <x:c r="L366" s="36" t="str"/>
      <x:c r="M366" s="36" t="str"/>
      <x:c r="N366" s="36" t="str">
        <x:v>知识|可复用模板</x:v>
      </x:c>
      <x:c r="O366" s="36" t="str">
        <x:v>中期</x:v>
      </x:c>
      <x:c r="P366" s="36" t="str">
        <x:v>["libreoffice_calc"]</x:v>
      </x:c>
      <x:c r="Q366" s="36" t="str">
        <x:v>[{"step_id":"S1","app":"libreoffice_calc","action_key":"calculate_weekly_profit","input_artifacts":["WeeklySales.xlsx"],"output_artifacts":["WeeklySales.xlsx"],"depends_on":[]},{"step_id":"S2","app":"libreoffice_calc","action_key":"create_sales_cogs_clustered_column_chart","input_artifacts":["WeeklySales.xlsx"],"output_artifacts":["WeeklySales.xlsx"],"depends_on":[]}]</x:v>
      </x:c>
      <x:c r="R366" s="36" t="str">
        <x:v>[]</x:v>
      </x:c>
      <x:c r="S366" s="36" t="str">
        <x:v>calculate_weekly_profit|create_sales_cogs_clustered_column_chart</x:v>
      </x:c>
      <x:c r="T366" s="36" t="str">
        <x:v>WeeklySales.xlsx</x:v>
      </x:c>
      <x:c r="U366" s="36" t="str">
        <x:v>retrieve_and_synthesize</x:v>
      </x:c>
      <x:c r="V366" s="36" t="str">
        <x:v>[{"point_id":"P1","description":"在 WeeklySales.xlsx 的 COGS 列右侧新增 Profit 列，并按每周 Sales 减去 COGS 计算利润。","weight":0.45,"evidence_memory_ids":["MTM_1e8df695-bd1b-45b3-b557-e7d599cf7597"]},{"point_id":"P2","description":"在 WeeklySales.xlsx 新建 Sheet2，为每周的 Sales 和 COGS 数据创建簇状柱形图，图表标题设为 Sales &amp; COGS。","weight":0.45,"evidence_memory_ids":["MTM_12382c62-0cd1-4bf2-bdc8-1d20bf9b2371"]},{"point_id":"P3","description":"各文件和各步骤的规则不串用，不增加无来源操作","weight":0.1,"evidence_memory_ids":["MTM_1e8df695-bd1b-45b3-b557-e7d599cf7597","MTM_12382c62-0cd1-4bf2-bdc8-1d20bf9b2371"]}]</x:v>
      </x:c>
      <x:c r="W366" s="36" t="str">
        <x:v>1.00</x:v>
      </x:c>
      <x:c r="X366" s="39" t="str">
        <x:v>WeeklySales 这次两个结果都要：Profit 必须紧挨 COGS 且逐周用 Sales-COGS；Sheet2 只画 Sales 与 COGS 的簇状柱形图，标题别改。</x:v>
      </x:c>
      <x:c r="Y366" s="39" t="str">
        <x:v>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x:v>
      </x:c>
      <x:c r="Z366" s="39" t="str">
        <x:v>不适用：当前题目不存在需要用户进一步选择的候选记忆。</x:v>
      </x:c>
      <x:c r="AA366" s="39" t="str">
        <x:v>不适用：当前题目没有指定需要排除的冲突或禁止记忆。</x:v>
      </x:c>
      <x:c r="AB366" s="39" t="str">
        <x:v>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C366" s="39" t="str">
        <x:v>第1项实际操作：在 WeeklySales.xlsx 的 COGS 列右侧新增 Profit 列，并按每周 Sales 减去 COGS 计算利润。执行时必须满足：Profit 紧邻 COGS；逐周计算 Sales-COGS；不创建图表。 第2项实际操作：在 WeeklySales.xlsx 新建 Sheet2，为每周的 Sales 和 COGS 数据创建簇状柱形图，图表标题设为 Sales &amp; COGS。执行时必须满足：图表放在 Sheet2；图表类型为簇状柱形图；标题必须为 Sales &amp; COGS。</x:v>
      </x:c>
      <x:c r="AD366" s="39" t="str">
        <x:v>用户的完整请求是：“WeeklySales 这次两个结果都要：Profit 必须紧挨 COGS 且逐周用 Sales-COGS；Sheet2 只画 Sales 与 COGS 的簇状柱形图，标题别改。” 第1个当前上下文：WeeklySales.xlsx 已在 LibreOffice Calc 中打开。 当前请求要求在同一轮工作中得到多个结果。能够支持这些结果的完整必需记忆如下：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WeeklySales.xlsx 的 COGS 列右侧新增 Profit 列，并按每周 Sales 减去 COGS 计算利润；2）在 WeeklySales.xlsx 新建 Sheet2，为每周的 Sales 和 COGS 数据创建簇状柱形图，图表标题设为 Sales &amp; COGS。每项操作必须分别遵守其对应文件、工作表、范围、格式和输出约束，不能用其中一项替代另一项，也不能把不同文件的规则混用。”</x:v>
      </x:c>
      <x:c r="AE366" s="39" t="str">
        <x:v>本题总分为 1.00 分，各得分点独立累计，允许语义等价表达，不要求模型输出记忆 ID，也不要求逐字复述记忆原文。
第1个得分点（0.45分）：在 WeeklySales.xlsx 的 COGS 列右侧新增 Profit 列，并按每周 Sales 减去 COGS 计算利润。该得分点所依据的完整证据为：
第1条记忆（中期/知识）：在 WeeklySales.xlsx 的 COGS 列右侧新增 Profit 列，并按每周 Sales 减去 COGS 计算利润。关键约束：Profit 紧邻 COGS；逐周计算 Sales-COGS；不创建图表。
第2个得分点（0.45分）：在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第3个得分点（0.10分）：各文件和各步骤的规则不串用，不增加无来源操作。该得分点所依据的完整证据为：
第1条记忆（中期/知识）：在 WeeklySales.xlsx 的 COGS 列右侧新增 Profit 列，并按每周 Sales 减去 COGS 计算利润。关键约束：Profit 紧邻 COGS；逐周计算 Sales-COGS；不创建图表。
第2条记忆（中期/可复用模板）：在 WeeklySales.xlsx 新建 Sheet2，为每周的 Sales 和 COGS 数据创建簇状柱形图，图表标题设为 Sales &amp; COGS。关键约束：图表放在 Sheet2；图表类型为簇状柱形图；标题必须为 Sales &amp; COGS。
人工复审时，应依据模型最终给出的信息和实际操作是否满足上述每个得分点分别给分；只命中记忆 ID 但没有形成对应结论不能获得该结论分，形成了正确结论但表达方式不同则不应扣分。</x:v>
      </x:c>
      <x:c r="AF366" s="50" t="str">
        <x:v>not_pass</x:v>
      </x:c>
      <x:c r="AG366" s="50" t="n">
        <x:v>0</x:v>
      </x:c>
    </x:row>
    <x:row r="367" ht="189" customHeight="1">
      <x:c r="A367" s="35" t="str">
        <x:v>MULTI_MM02_HQ1</x:v>
      </x:c>
      <x:c r="B367" s="36" t="str">
        <x:v>SG_COMP_MM02</x:v>
      </x:c>
      <x:c r="C367" s="36" t="str">
        <x:v>MM02</x:v>
      </x:c>
      <x:c r="D367" s="36" t="str">
        <x:v>v2_MM02</x:v>
      </x:c>
      <x:c r="E367" s="36" t="str">
        <x:v>complementary_multi_memory</x:v>
      </x:c>
      <x:c r="F367" s="36" t="str">
        <x:v>human_context_explicit</x:v>
      </x:c>
      <x:c r="G367" s="36" t="str">
        <x:v>challenge</x:v>
      </x:c>
      <x:c r="H367" s="36" t="str">
        <x:v>困难</x:v>
      </x:c>
      <x:c r="I367" s="36" t="str">
        <x:v>3a7c8185-25c1-4941-bd7b-96e823c9f21f|51719eea-10bc-4246-a428-ac7c433dd4b3</x:v>
      </x:c>
      <x:c r="J367" s="36" t="str">
        <x:v>CTX_3a7c8185-25c1-4941-bd7b-96e823c9f21f|CTX_51719eea-10bc-4246-a428-ac7c433dd4b3</x:v>
      </x:c>
      <x:c r="K367" s="36" t="str">
        <x:v>MTM_3a7c8185-25c1-4941-bd7b-96e823c9f21f|STM_51719eea-10bc-4246-a428-ac7c433dd4b3</x:v>
      </x:c>
      <x:c r="L367" s="36" t="str"/>
      <x:c r="M367" s="36" t="str"/>
      <x:c r="N367" s="36" t="str">
        <x:v>工作流程</x:v>
      </x:c>
      <x:c r="O367" s="36" t="str">
        <x:v>中期|短期</x:v>
      </x:c>
      <x:c r="P367" s="36" t="str">
        <x:v>["libreoffice_calc"]</x:v>
      </x:c>
      <x:c r="Q367" s="36" t="str">
        <x:v>[{"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x:v>
      </x:c>
      <x:c r="R367" s="36" t="str">
        <x:v>[]</x:v>
      </x:c>
      <x:c r="S367" s="36" t="str">
        <x:v>sort_and_chart_boomerang_quantity|calculate_revenue_and_create_product_pivot</x:v>
      </x:c>
      <x:c r="T367" s="36" t="str">
        <x:v>BoomerangSales.xlsx</x:v>
      </x:c>
      <x:c r="U367" s="36" t="str">
        <x:v>retrieve_and_synthesize</x:v>
      </x:c>
      <x:c r="V367" s="36" t="str">
        <x:v>[{"point_id":"P1","description":"在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x:v>
      </x:c>
      <x:c r="W367" s="36" t="str">
        <x:v>1.00</x:v>
      </x:c>
      <x:c r="X367" s="39" t="str">
        <x:v>BoomerangSales.xlsx 要交分析版了。先把时间顺序理好并看数量趋势，再把收入按产品汇总到 Sheet2，折扣也要算进去。</x:v>
      </x:c>
      <x:c r="Y367"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67" s="39" t="str">
        <x:v>不适用：当前题目不存在需要用户进一步选择的候选记忆。</x:v>
      </x:c>
      <x:c r="AA367" s="39" t="str">
        <x:v>不适用：当前题目没有指定需要排除的冲突或禁止记忆。</x:v>
      </x:c>
      <x:c r="AB367" s="39" t="str">
        <x:v>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C367" s="39" t="str">
        <x:v>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367" s="39" t="str">
        <x:v>用户的完整请求是：“BoomerangSales.xlsx 要交分析版了。先把时间顺序理好并看数量趋势，再把收入按产品汇总到 Sheet2，折扣也要算进去。”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E367" s="39" t="str">
        <x:v>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367" s="50" t="str">
        <x:v>not_pass</x:v>
      </x:c>
      <x:c r="AG367" s="50" t="n">
        <x:v>0</x:v>
      </x:c>
    </x:row>
    <x:row r="368" ht="189" customHeight="1">
      <x:c r="A368" s="35" t="str">
        <x:v>MULTI_MM02_HQ2</x:v>
      </x:c>
      <x:c r="B368" s="36" t="str">
        <x:v>SG_COMP_MM02</x:v>
      </x:c>
      <x:c r="C368" s="36" t="str">
        <x:v>MM02</x:v>
      </x:c>
      <x:c r="D368" s="36" t="str">
        <x:v>v2_MM02</x:v>
      </x:c>
      <x:c r="E368" s="36" t="str">
        <x:v>complementary_multi_memory</x:v>
      </x:c>
      <x:c r="F368" s="36" t="str">
        <x:v>human_goal_oriented</x:v>
      </x:c>
      <x:c r="G368" s="36" t="str">
        <x:v>challenge</x:v>
      </x:c>
      <x:c r="H368" s="36" t="str">
        <x:v>困难</x:v>
      </x:c>
      <x:c r="I368" s="36" t="str">
        <x:v>3a7c8185-25c1-4941-bd7b-96e823c9f21f|51719eea-10bc-4246-a428-ac7c433dd4b3</x:v>
      </x:c>
      <x:c r="J368" s="36" t="str">
        <x:v>CTX_3a7c8185-25c1-4941-bd7b-96e823c9f21f|CTX_51719eea-10bc-4246-a428-ac7c433dd4b3</x:v>
      </x:c>
      <x:c r="K368" s="36" t="str">
        <x:v>MTM_3a7c8185-25c1-4941-bd7b-96e823c9f21f|STM_51719eea-10bc-4246-a428-ac7c433dd4b3</x:v>
      </x:c>
      <x:c r="L368" s="36" t="str"/>
      <x:c r="M368" s="36" t="str"/>
      <x:c r="N368" s="36" t="str">
        <x:v>工作流程</x:v>
      </x:c>
      <x:c r="O368" s="36" t="str">
        <x:v>中期|短期</x:v>
      </x:c>
      <x:c r="P368" s="36" t="str">
        <x:v>["libreoffice_calc"]</x:v>
      </x:c>
      <x:c r="Q368" s="36" t="str">
        <x:v>[{"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x:v>
      </x:c>
      <x:c r="R368" s="36" t="str">
        <x:v>[]</x:v>
      </x:c>
      <x:c r="S368" s="36" t="str">
        <x:v>sort_and_chart_boomerang_quantity|calculate_revenue_and_create_product_pivot</x:v>
      </x:c>
      <x:c r="T368" s="36" t="str">
        <x:v>BoomerangSales.xlsx</x:v>
      </x:c>
      <x:c r="U368" s="36" t="str">
        <x:v>retrieve_and_synthesize</x:v>
      </x:c>
      <x:c r="V368" s="36" t="str">
        <x:v>[{"point_id":"P1","description":"在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x:v>
      </x:c>
      <x:c r="W368" s="36" t="str">
        <x:v>1.00</x:v>
      </x:c>
      <x:c r="X368" s="39" t="str">
        <x:v>这份回旋镖销售记录现在又乱又看不出各产品贡献。帮我沿用之前两套做法，一边整理时间趋势，一边给出产品收入汇总。</x:v>
      </x:c>
      <x:c r="Y368"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68" s="39" t="str">
        <x:v>不适用：当前题目不存在需要用户进一步选择的候选记忆。</x:v>
      </x:c>
      <x:c r="AA368" s="39" t="str">
        <x:v>不适用：当前题目没有指定需要排除的冲突或禁止记忆。</x:v>
      </x:c>
      <x:c r="AB368" s="39" t="str">
        <x:v>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C368" s="39" t="str">
        <x:v>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368" s="39" t="str">
        <x:v>用户的完整请求是：“这份回旋镖销售记录现在又乱又看不出各产品贡献。帮我沿用之前两套做法，一边整理时间趋势，一边给出产品收入汇总。”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E368" s="39" t="str">
        <x:v>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368" s="50" t="str">
        <x:v>not_pass</x:v>
      </x:c>
      <x:c r="AG368" s="50" t="n">
        <x:v>0</x:v>
      </x:c>
    </x:row>
    <x:row r="369" ht="189" customHeight="1">
      <x:c r="A369" s="35" t="str">
        <x:v>MULTI_MM02_HQ3</x:v>
      </x:c>
      <x:c r="B369" s="36" t="str">
        <x:v>SG_COMP_MM02</x:v>
      </x:c>
      <x:c r="C369" s="36" t="str">
        <x:v>MM02</x:v>
      </x:c>
      <x:c r="D369" s="36" t="str">
        <x:v>v2_MM02</x:v>
      </x:c>
      <x:c r="E369" s="36" t="str">
        <x:v>complementary_multi_memory</x:v>
      </x:c>
      <x:c r="F369" s="36" t="str">
        <x:v>contextual_ellipsis</x:v>
      </x:c>
      <x:c r="G369" s="36" t="str">
        <x:v>challenge</x:v>
      </x:c>
      <x:c r="H369" s="36" t="str">
        <x:v>困难</x:v>
      </x:c>
      <x:c r="I369" s="36" t="str">
        <x:v>3a7c8185-25c1-4941-bd7b-96e823c9f21f|51719eea-10bc-4246-a428-ac7c433dd4b3</x:v>
      </x:c>
      <x:c r="J369" s="36" t="str">
        <x:v>CTX_3a7c8185-25c1-4941-bd7b-96e823c9f21f|CTX_51719eea-10bc-4246-a428-ac7c433dd4b3</x:v>
      </x:c>
      <x:c r="K369" s="36" t="str">
        <x:v>MTM_3a7c8185-25c1-4941-bd7b-96e823c9f21f|STM_51719eea-10bc-4246-a428-ac7c433dd4b3</x:v>
      </x:c>
      <x:c r="L369" s="36" t="str"/>
      <x:c r="M369" s="36" t="str"/>
      <x:c r="N369" s="36" t="str">
        <x:v>工作流程</x:v>
      </x:c>
      <x:c r="O369" s="36" t="str">
        <x:v>中期|短期</x:v>
      </x:c>
      <x:c r="P369" s="36" t="str">
        <x:v>["libreoffice_calc"]</x:v>
      </x:c>
      <x:c r="Q369" s="36" t="str">
        <x:v>[{"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x:v>
      </x:c>
      <x:c r="R369" s="36" t="str">
        <x:v>[]</x:v>
      </x:c>
      <x:c r="S369" s="36" t="str">
        <x:v>sort_and_chart_boomerang_quantity|calculate_revenue_and_create_product_pivot</x:v>
      </x:c>
      <x:c r="T369" s="36" t="str">
        <x:v>BoomerangSales.xlsx</x:v>
      </x:c>
      <x:c r="U369" s="36" t="str">
        <x:v>retrieve_and_synthesize</x:v>
      </x:c>
      <x:c r="V369" s="36" t="str">
        <x:v>[{"point_id":"P1","description":"在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x:v>
      </x:c>
      <x:c r="W369" s="36" t="str">
        <x:v>1.00</x:v>
      </x:c>
      <x:c r="X369" s="39" t="str">
        <x:v>我已经打开这张销售明细了。A 列先排顺，数量趋势照旧；另外结合价目表、数量和折扣把 Revenue 补上，第二张表做产品汇总。</x:v>
      </x:c>
      <x:c r="Y369"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69" s="39" t="str">
        <x:v>不适用：当前题目不存在需要用户进一步选择的候选记忆。</x:v>
      </x:c>
      <x:c r="AA369" s="39" t="str">
        <x:v>不适用：当前题目没有指定需要排除的冲突或禁止记忆。</x:v>
      </x:c>
      <x:c r="AB369" s="39" t="str">
        <x:v>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C369" s="39" t="str">
        <x:v>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369" s="39" t="str">
        <x:v>用户的完整请求是：“我已经打开这张销售明细了。A 列先排顺，数量趋势照旧；另外结合价目表、数量和折扣把 Revenue 补上，第二张表做产品汇总。”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E369" s="39" t="str">
        <x:v>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369" s="50" t="str">
        <x:v>not_pass</x:v>
      </x:c>
      <x:c r="AG369" s="50" t="n">
        <x:v>0</x:v>
      </x:c>
    </x:row>
    <x:row r="370" ht="189" customHeight="1">
      <x:c r="A370" s="35" t="str">
        <x:v>MULTI_MM02_HQ4</x:v>
      </x:c>
      <x:c r="B370" s="36" t="str">
        <x:v>SG_COMP_MM02</x:v>
      </x:c>
      <x:c r="C370" s="36" t="str">
        <x:v>MM02</x:v>
      </x:c>
      <x:c r="D370" s="36" t="str">
        <x:v>v2_MM02</x:v>
      </x:c>
      <x:c r="E370" s="36" t="str">
        <x:v>complementary_multi_memory</x:v>
      </x:c>
      <x:c r="F370" s="36" t="str">
        <x:v>low_overlap_paraphrase</x:v>
      </x:c>
      <x:c r="G370" s="36" t="str">
        <x:v>challenge</x:v>
      </x:c>
      <x:c r="H370" s="36" t="str">
        <x:v>困难</x:v>
      </x:c>
      <x:c r="I370" s="36" t="str">
        <x:v>3a7c8185-25c1-4941-bd7b-96e823c9f21f|51719eea-10bc-4246-a428-ac7c433dd4b3</x:v>
      </x:c>
      <x:c r="J370" s="36" t="str">
        <x:v>CTX_3a7c8185-25c1-4941-bd7b-96e823c9f21f|CTX_51719eea-10bc-4246-a428-ac7c433dd4b3</x:v>
      </x:c>
      <x:c r="K370" s="36" t="str">
        <x:v>MTM_3a7c8185-25c1-4941-bd7b-96e823c9f21f|STM_51719eea-10bc-4246-a428-ac7c433dd4b3</x:v>
      </x:c>
      <x:c r="L370" s="36" t="str"/>
      <x:c r="M370" s="36" t="str"/>
      <x:c r="N370" s="36" t="str">
        <x:v>工作流程</x:v>
      </x:c>
      <x:c r="O370" s="36" t="str">
        <x:v>中期|短期</x:v>
      </x:c>
      <x:c r="P370" s="36" t="str">
        <x:v>["libreoffice_calc"]</x:v>
      </x:c>
      <x:c r="Q370" s="36" t="str">
        <x:v>[{"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x:v>
      </x:c>
      <x:c r="R370" s="36" t="str">
        <x:v>[]</x:v>
      </x:c>
      <x:c r="S370" s="36" t="str">
        <x:v>sort_and_chart_boomerang_quantity|calculate_revenue_and_create_product_pivot</x:v>
      </x:c>
      <x:c r="T370" s="36" t="str">
        <x:v>BoomerangSales.xlsx</x:v>
      </x:c>
      <x:c r="U370" s="36" t="str">
        <x:v>retrieve_and_synthesize</x:v>
      </x:c>
      <x:c r="V370" s="36" t="str">
        <x:v>[{"point_id":"P1","description":"在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x:v>
      </x:c>
      <x:c r="W370" s="36" t="str">
        <x:v>1.00</x:v>
      </x:c>
      <x:c r="X370" s="39" t="str">
        <x:v>我需要一张按发生时间展开的销量曲线，以及一份各产品真正到手收入的汇总，别把标价直接当收入。</x:v>
      </x:c>
      <x:c r="Y370"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70" s="39" t="str">
        <x:v>不适用：当前题目不存在需要用户进一步选择的候选记忆。</x:v>
      </x:c>
      <x:c r="AA370" s="39" t="str">
        <x:v>不适用：当前题目没有指定需要排除的冲突或禁止记忆。</x:v>
      </x:c>
      <x:c r="AB370" s="39" t="str">
        <x:v>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C370" s="39" t="str">
        <x:v>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370" s="39" t="str">
        <x:v>用户的完整请求是：“我需要一张按发生时间展开的销量曲线，以及一份各产品真正到手收入的汇总，别把标价直接当收入。”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E370" s="39" t="str">
        <x:v>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370" s="50" t="str">
        <x:v>not_pass</x:v>
      </x:c>
      <x:c r="AG370" s="50" t="n">
        <x:v>0</x:v>
      </x:c>
    </x:row>
    <x:row r="371" ht="189" customHeight="1">
      <x:c r="A371" s="35" t="str">
        <x:v>MULTI_MM02_HQ5</x:v>
      </x:c>
      <x:c r="B371" s="36" t="str">
        <x:v>SG_COMP_MM02</x:v>
      </x:c>
      <x:c r="C371" s="36" t="str">
        <x:v>MM02</x:v>
      </x:c>
      <x:c r="D371" s="36" t="str">
        <x:v>v2_MM02</x:v>
      </x:c>
      <x:c r="E371" s="36" t="str">
        <x:v>complementary_multi_memory</x:v>
      </x:c>
      <x:c r="F371" s="36" t="str">
        <x:v>human_constraint_emphasis</x:v>
      </x:c>
      <x:c r="G371" s="36" t="str">
        <x:v>challenge</x:v>
      </x:c>
      <x:c r="H371" s="36" t="str">
        <x:v>困难</x:v>
      </x:c>
      <x:c r="I371" s="36" t="str">
        <x:v>3a7c8185-25c1-4941-bd7b-96e823c9f21f|51719eea-10bc-4246-a428-ac7c433dd4b3</x:v>
      </x:c>
      <x:c r="J371" s="36" t="str">
        <x:v>CTX_3a7c8185-25c1-4941-bd7b-96e823c9f21f|CTX_51719eea-10bc-4246-a428-ac7c433dd4b3</x:v>
      </x:c>
      <x:c r="K371" s="36" t="str">
        <x:v>MTM_3a7c8185-25c1-4941-bd7b-96e823c9f21f|STM_51719eea-10bc-4246-a428-ac7c433dd4b3</x:v>
      </x:c>
      <x:c r="L371" s="36" t="str"/>
      <x:c r="M371" s="36" t="str"/>
      <x:c r="N371" s="36" t="str">
        <x:v>工作流程</x:v>
      </x:c>
      <x:c r="O371" s="36" t="str">
        <x:v>中期|短期</x:v>
      </x:c>
      <x:c r="P371" s="36" t="str">
        <x:v>["libreoffice_calc"]</x:v>
      </x:c>
      <x:c r="Q371" s="36" t="str">
        <x:v>[{"step_id":"S1","app":"libreoffice_calc","action_key":"sort_and_chart_boomerang_quantity","input_artifacts":["BoomerangSales.xlsx"],"output_artifacts":["BoomerangSales.xlsx"],"depends_on":[]},{"step_id":"S2","app":"libreoffice_calc","action_key":"calculate_revenue_and_create_product_pivot","input_artifacts":["BoomerangSales.xlsx"],"output_artifacts":["BoomerangSales.xlsx"],"depends_on":[]}]</x:v>
      </x:c>
      <x:c r="R371" s="36" t="str">
        <x:v>[]</x:v>
      </x:c>
      <x:c r="S371" s="36" t="str">
        <x:v>sort_and_chart_boomerang_quantity|calculate_revenue_and_create_product_pivot</x:v>
      </x:c>
      <x:c r="T371" s="36" t="str">
        <x:v>BoomerangSales.xlsx</x:v>
      </x:c>
      <x:c r="U371" s="36" t="str">
        <x:v>retrieve_and_synthesize</x:v>
      </x:c>
      <x:c r="V371" s="36" t="str">
        <x:v>[{"point_id":"P1","description":"在 BoomerangSales.xlsx 中先按 A 列升序排列数据，再创建折线图，以 Date Time 为横轴、quantity 为纵轴。","weight":0.45,"evidence_memory_ids":["MTM_3a7c8185-25c1-4941-bd7b-96e823c9f21f"]},{"point_id":"P2","description":"在 BoomerangSales.xlsx 中依据 Retail Price 表的产品价格，并结合数量和折扣计算 Revenue 新列；随后在 Sheet2 创建按产品汇总收入的数据透视表。","weight":0.45,"evidence_memory_ids":["STM_51719eea-10bc-4246-a428-ac7c433dd4b3"]},{"point_id":"P3","description":"各文件和各步骤的规则不串用，不增加无来源操作","weight":0.1,"evidence_memory_ids":["MTM_3a7c8185-25c1-4941-bd7b-96e823c9f21f","STM_51719eea-10bc-4246-a428-ac7c433dd4b3"]}]</x:v>
      </x:c>
      <x:c r="W371" s="36" t="str">
        <x:v>1.00</x:v>
      </x:c>
      <x:c r="X371" s="39" t="str">
        <x:v>BoomerangSales 两部分都做：A 列升序后用 Date Time/quantity 画折线；Revenue 同时考虑价格、数量、折扣，并在 Sheet2 按产品汇总。</x:v>
      </x:c>
      <x:c r="Y371"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71" s="39" t="str">
        <x:v>不适用：当前题目不存在需要用户进一步选择的候选记忆。</x:v>
      </x:c>
      <x:c r="AA371" s="39" t="str">
        <x:v>不适用：当前题目没有指定需要排除的冲突或禁止记忆。</x:v>
      </x:c>
      <x:c r="AB371" s="39" t="str">
        <x:v>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C371" s="39" t="str">
        <x:v>第1项实际操作：在 BoomerangSales.xlsx 中先按 A 列升序排列数据，再创建折线图，以 Date Time 为横轴、quantity 为纵轴。执行时必须满足：必须先排序再作图；A 列升序；横轴 Date Time，纵轴 quantity。 第2项实际操作：在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x:v>
      </x:c>
      <x:c r="AD371" s="39" t="str">
        <x:v>用户的完整请求是：“BoomerangSales 两部分都做：A 列升序后用 Date Time/quantity 画折线；Revenue 同时考虑价格、数量、折扣，并在 Sheet2 按产品汇总。” 第1个当前上下文：BoomerangSales.xlsx 已在 LibreOffice Calc 中打开。 当前请求要求在同一轮工作中得到多个结果。能够支持这些结果的完整必需记忆如下：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创建按产品汇总收入的数据透视表。每项操作必须分别遵守其对应文件、工作表、范围、格式和输出约束，不能用其中一项替代另一项，也不能把不同文件的规则混用。”</x:v>
      </x:c>
      <x:c r="AE371" s="39" t="str">
        <x:v>本题总分为 1.00 分，各得分点独立累计，允许语义等价表达，不要求模型输出记忆 ID，也不要求逐字复述记忆原文。
第1个得分点（0.45分）：在 BoomerangSales.xlsx 中先按 A 列升序排列数据，再创建折线图，以 Date Time 为横轴、quantity 为纵轴。该得分点所依据的完整证据为：
第1条记忆（中期/工作流程）：在 BoomerangSales.xlsx 中先按 A 列升序排列数据，再创建折线图，以 Date Time 为横轴、quantity 为纵轴。关键约束：必须先排序再作图；A 列升序；横轴 Date Time，纵轴 quantity。
第2个得分点（0.45分）：在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第3个得分点（0.10分）：各文件和各步骤的规则不串用，不增加无来源操作。该得分点所依据的完整证据为：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371" s="50" t="str">
        <x:v>not_pass</x:v>
      </x:c>
      <x:c r="AG371" s="50" t="n">
        <x:v>0</x:v>
      </x:c>
    </x:row>
    <x:row r="372" ht="189" customHeight="1">
      <x:c r="A372" s="35" t="str">
        <x:v>MULTI_MM03_HQ1</x:v>
      </x:c>
      <x:c r="B372" s="36" t="str">
        <x:v>SG_COMP_MM03</x:v>
      </x:c>
      <x:c r="C372" s="36" t="str">
        <x:v>MM03</x:v>
      </x:c>
      <x:c r="D372" s="36" t="str">
        <x:v>v2_MM03</x:v>
      </x:c>
      <x:c r="E372" s="36" t="str">
        <x:v>complementary_multi_memory</x:v>
      </x:c>
      <x:c r="F372" s="36" t="str">
        <x:v>human_context_explicit</x:v>
      </x:c>
      <x:c r="G372" s="36" t="str">
        <x:v>challenge</x:v>
      </x:c>
      <x:c r="H372" s="36" t="str">
        <x:v>困难</x:v>
      </x:c>
      <x:c r="I372" s="36" t="str">
        <x:v>1273e544-688f-496b-8d89-3e0f40aa0606|42e0a640-4f19-4b28-973d-729602b5a4a7</x:v>
      </x:c>
      <x:c r="J372" s="36" t="str">
        <x:v>CTX_1273e544-688f-496b-8d89-3e0f40aa0606|CTX_42e0a640-4f19-4b28-973d-729602b5a4a7</x:v>
      </x:c>
      <x:c r="K372" s="36" t="str">
        <x:v>LTM_1273e544-688f-496b-8d89-3e0f40aa0606|LTM_42e0a640-4f19-4b28-973d-729602b5a4a7</x:v>
      </x:c>
      <x:c r="L372" s="36" t="str"/>
      <x:c r="M372" s="36" t="str"/>
      <x:c r="N372" s="36" t="str">
        <x:v>工作流程|知识</x:v>
      </x:c>
      <x:c r="O372" s="36" t="str">
        <x:v>长期</x:v>
      </x:c>
      <x:c r="P372" s="36" t="str">
        <x:v>["libreoffice_calc"]</x:v>
      </x:c>
      <x:c r="Q372" s="36" t="str">
        <x:v>[{"step_id":"S1","app":"libreoffice_calc","action_key":"copy_revenue_column_to_sheet2","input_artifacts":["NetIncome.xlsx"],"output_artifacts":["NetIncome.xlsx"],"depends_on":[]},{"step_id":"S2","app":"libreoffice_calc","action_key":"summarize_revenue_and_expenses","input_artifacts":["NetIncome.xlsx"],"output_artifacts":["NetIncome.xlsx"],"depends_on":[]}]</x:v>
      </x:c>
      <x:c r="R372" s="36" t="str">
        <x:v>[]</x:v>
      </x:c>
      <x:c r="S372" s="36" t="str">
        <x:v>copy_revenue_column_to_sheet2|summarize_revenue_and_expenses</x:v>
      </x:c>
      <x:c r="T372" s="36" t="str">
        <x:v>NetIncome.xlsx</x:v>
      </x:c>
      <x:c r="U372" s="36" t="str">
        <x:v>retrieve_and_synthesize</x:v>
      </x:c>
      <x:c r="V372" s="36" t="str">
        <x:v>[{"point_id":"P1","description":"把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x:v>
      </x:c>
      <x:c r="W372" s="36" t="str">
        <x:v>1.00</x:v>
      </x:c>
      <x:c r="X372" s="39" t="str">
        <x:v>NetIncome.xlsx 的 Sheet2 既要保留 Revenue 明细列，也要有收入和总费用的合计。按我们之前的两次做法合到一张表里，别互相覆盖。</x:v>
      </x:c>
      <x:c r="Y372"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Z372" s="39" t="str">
        <x:v>不适用：当前题目不存在需要用户进一步选择的候选记忆。</x:v>
      </x:c>
      <x:c r="AA372" s="39" t="str">
        <x:v>不适用：当前题目没有指定需要排除的冲突或禁止记忆。</x:v>
      </x:c>
      <x:c r="AB372" s="39" t="str">
        <x:v>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372" s="39" t="str">
        <x:v>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372" s="39" t="str">
        <x:v>用户的完整请求是：“NetIncome.xlsx 的 Sheet2 既要保留 Revenue 明细列，也要有收入和总费用的合计。按我们之前的两次做法合到一张表里，别互相覆盖。”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372" s="39" t="str">
        <x:v>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72" s="50" t="str">
        <x:v>not_pass</x:v>
      </x:c>
      <x:c r="AG372" s="50" t="n">
        <x:v>0</x:v>
      </x:c>
    </x:row>
    <x:row r="373" ht="189" customHeight="1">
      <x:c r="A373" s="35" t="str">
        <x:v>MULTI_MM03_HQ2</x:v>
      </x:c>
      <x:c r="B373" s="36" t="str">
        <x:v>SG_COMP_MM03</x:v>
      </x:c>
      <x:c r="C373" s="36" t="str">
        <x:v>MM03</x:v>
      </x:c>
      <x:c r="D373" s="36" t="str">
        <x:v>v2_MM03</x:v>
      </x:c>
      <x:c r="E373" s="36" t="str">
        <x:v>complementary_multi_memory</x:v>
      </x:c>
      <x:c r="F373" s="36" t="str">
        <x:v>human_goal_oriented</x:v>
      </x:c>
      <x:c r="G373" s="36" t="str">
        <x:v>challenge</x:v>
      </x:c>
      <x:c r="H373" s="36" t="str">
        <x:v>困难</x:v>
      </x:c>
      <x:c r="I373" s="36" t="str">
        <x:v>1273e544-688f-496b-8d89-3e0f40aa0606|42e0a640-4f19-4b28-973d-729602b5a4a7</x:v>
      </x:c>
      <x:c r="J373" s="36" t="str">
        <x:v>CTX_1273e544-688f-496b-8d89-3e0f40aa0606|CTX_42e0a640-4f19-4b28-973d-729602b5a4a7</x:v>
      </x:c>
      <x:c r="K373" s="36" t="str">
        <x:v>LTM_1273e544-688f-496b-8d89-3e0f40aa0606|LTM_42e0a640-4f19-4b28-973d-729602b5a4a7</x:v>
      </x:c>
      <x:c r="L373" s="36" t="str"/>
      <x:c r="M373" s="36" t="str"/>
      <x:c r="N373" s="36" t="str">
        <x:v>工作流程|知识</x:v>
      </x:c>
      <x:c r="O373" s="36" t="str">
        <x:v>长期</x:v>
      </x:c>
      <x:c r="P373" s="36" t="str">
        <x:v>["libreoffice_calc"]</x:v>
      </x:c>
      <x:c r="Q373" s="36" t="str">
        <x:v>[{"step_id":"S1","app":"libreoffice_calc","action_key":"copy_revenue_column_to_sheet2","input_artifacts":["NetIncome.xlsx"],"output_artifacts":["NetIncome.xlsx"],"depends_on":[]},{"step_id":"S2","app":"libreoffice_calc","action_key":"summarize_revenue_and_expenses","input_artifacts":["NetIncome.xlsx"],"output_artifacts":["NetIncome.xlsx"],"depends_on":[]}]</x:v>
      </x:c>
      <x:c r="R373" s="36" t="str">
        <x:v>[]</x:v>
      </x:c>
      <x:c r="S373" s="36" t="str">
        <x:v>copy_revenue_column_to_sheet2|summarize_revenue_and_expenses</x:v>
      </x:c>
      <x:c r="T373" s="36" t="str">
        <x:v>NetIncome.xlsx</x:v>
      </x:c>
      <x:c r="U373" s="36" t="str">
        <x:v>retrieve_and_synthesize</x:v>
      </x:c>
      <x:c r="V373" s="36" t="str">
        <x:v>[{"point_id":"P1","description":"把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x:v>
      </x:c>
      <x:c r="W373" s="36" t="str">
        <x:v>1.00</x:v>
      </x:c>
      <x:c r="X373" s="39" t="str">
        <x:v>审计要同时看收入原始列和收入、费用汇总，不想来回切表。把这两个结果都整理到 NetIncome 的第二张表。</x:v>
      </x:c>
      <x:c r="Y373"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Z373" s="39" t="str">
        <x:v>不适用：当前题目不存在需要用户进一步选择的候选记忆。</x:v>
      </x:c>
      <x:c r="AA373" s="39" t="str">
        <x:v>不适用：当前题目没有指定需要排除的冲突或禁止记忆。</x:v>
      </x:c>
      <x:c r="AB373" s="39" t="str">
        <x:v>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373" s="39" t="str">
        <x:v>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373" s="39" t="str">
        <x:v>用户的完整请求是：“审计要同时看收入原始列和收入、费用汇总，不想来回切表。把这两个结果都整理到 NetIncome 的第二张表。”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373" s="39" t="str">
        <x:v>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73" s="50" t="str">
        <x:v>not_pass</x:v>
      </x:c>
      <x:c r="AG373" s="50" t="n">
        <x:v>0</x:v>
      </x:c>
    </x:row>
    <x:row r="374" ht="189" customHeight="1">
      <x:c r="A374" s="35" t="str">
        <x:v>MULTI_MM03_HQ3</x:v>
      </x:c>
      <x:c r="B374" s="36" t="str">
        <x:v>SG_COMP_MM03</x:v>
      </x:c>
      <x:c r="C374" s="36" t="str">
        <x:v>MM03</x:v>
      </x:c>
      <x:c r="D374" s="36" t="str">
        <x:v>v2_MM03</x:v>
      </x:c>
      <x:c r="E374" s="36" t="str">
        <x:v>complementary_multi_memory</x:v>
      </x:c>
      <x:c r="F374" s="36" t="str">
        <x:v>contextual_ellipsis</x:v>
      </x:c>
      <x:c r="G374" s="36" t="str">
        <x:v>challenge</x:v>
      </x:c>
      <x:c r="H374" s="36" t="str">
        <x:v>困难</x:v>
      </x:c>
      <x:c r="I374" s="36" t="str">
        <x:v>1273e544-688f-496b-8d89-3e0f40aa0606|42e0a640-4f19-4b28-973d-729602b5a4a7</x:v>
      </x:c>
      <x:c r="J374" s="36" t="str">
        <x:v>CTX_1273e544-688f-496b-8d89-3e0f40aa0606|CTX_42e0a640-4f19-4b28-973d-729602b5a4a7</x:v>
      </x:c>
      <x:c r="K374" s="36" t="str">
        <x:v>LTM_1273e544-688f-496b-8d89-3e0f40aa0606|LTM_42e0a640-4f19-4b28-973d-729602b5a4a7</x:v>
      </x:c>
      <x:c r="L374" s="36" t="str"/>
      <x:c r="M374" s="36" t="str"/>
      <x:c r="N374" s="36" t="str">
        <x:v>工作流程|知识</x:v>
      </x:c>
      <x:c r="O374" s="36" t="str">
        <x:v>长期</x:v>
      </x:c>
      <x:c r="P374" s="36" t="str">
        <x:v>["libreoffice_calc"]</x:v>
      </x:c>
      <x:c r="Q374" s="36" t="str">
        <x:v>[{"step_id":"S1","app":"libreoffice_calc","action_key":"copy_revenue_column_to_sheet2","input_artifacts":["NetIncome.xlsx"],"output_artifacts":["NetIncome.xlsx"],"depends_on":[]},{"step_id":"S2","app":"libreoffice_calc","action_key":"summarize_revenue_and_expenses","input_artifacts":["NetIncome.xlsx"],"output_artifacts":["NetIncome.xlsx"],"depends_on":[]}]</x:v>
      </x:c>
      <x:c r="R374" s="36" t="str">
        <x:v>[]</x:v>
      </x:c>
      <x:c r="S374" s="36" t="str">
        <x:v>copy_revenue_column_to_sheet2|summarize_revenue_and_expenses</x:v>
      </x:c>
      <x:c r="T374" s="36" t="str">
        <x:v>NetIncome.xlsx</x:v>
      </x:c>
      <x:c r="U374" s="36" t="str">
        <x:v>retrieve_and_synthesize</x:v>
      </x:c>
      <x:c r="V374" s="36" t="str">
        <x:v>[{"point_id":"P1","description":"把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x:v>
      </x:c>
      <x:c r="W374" s="36" t="str">
        <x:v>1.00</x:v>
      </x:c>
      <x:c r="X374" s="39" t="str">
        <x:v>这份净收益表已经打开了。把 Revenue 连表头带过去，再在不挡住明细的位置放 Total Revenue 和 Total Expenses 两个汇总。</x:v>
      </x:c>
      <x:c r="Y374"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Z374" s="39" t="str">
        <x:v>不适用：当前题目不存在需要用户进一步选择的候选记忆。</x:v>
      </x:c>
      <x:c r="AA374" s="39" t="str">
        <x:v>不适用：当前题目没有指定需要排除的冲突或禁止记忆。</x:v>
      </x:c>
      <x:c r="AB374" s="39" t="str">
        <x:v>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374" s="39" t="str">
        <x:v>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374" s="39" t="str">
        <x:v>用户的完整请求是：“这份净收益表已经打开了。把 Revenue 连表头带过去，再在不挡住明细的位置放 Total Revenue 和 Total Expenses 两个汇总。”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374" s="39" t="str">
        <x:v>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74" s="50" t="str">
        <x:v>not_pass</x:v>
      </x:c>
      <x:c r="AG374" s="50" t="n">
        <x:v>0</x:v>
      </x:c>
    </x:row>
    <x:row r="375" ht="189" customHeight="1">
      <x:c r="A375" s="35" t="str">
        <x:v>MULTI_MM03_HQ4</x:v>
      </x:c>
      <x:c r="B375" s="36" t="str">
        <x:v>SG_COMP_MM03</x:v>
      </x:c>
      <x:c r="C375" s="36" t="str">
        <x:v>MM03</x:v>
      </x:c>
      <x:c r="D375" s="36" t="str">
        <x:v>v2_MM03</x:v>
      </x:c>
      <x:c r="E375" s="36" t="str">
        <x:v>complementary_multi_memory</x:v>
      </x:c>
      <x:c r="F375" s="36" t="str">
        <x:v>low_overlap_paraphrase</x:v>
      </x:c>
      <x:c r="G375" s="36" t="str">
        <x:v>challenge</x:v>
      </x:c>
      <x:c r="H375" s="36" t="str">
        <x:v>困难</x:v>
      </x:c>
      <x:c r="I375" s="36" t="str">
        <x:v>1273e544-688f-496b-8d89-3e0f40aa0606|42e0a640-4f19-4b28-973d-729602b5a4a7</x:v>
      </x:c>
      <x:c r="J375" s="36" t="str">
        <x:v>CTX_1273e544-688f-496b-8d89-3e0f40aa0606|CTX_42e0a640-4f19-4b28-973d-729602b5a4a7</x:v>
      </x:c>
      <x:c r="K375" s="36" t="str">
        <x:v>LTM_1273e544-688f-496b-8d89-3e0f40aa0606|LTM_42e0a640-4f19-4b28-973d-729602b5a4a7</x:v>
      </x:c>
      <x:c r="L375" s="36" t="str"/>
      <x:c r="M375" s="36" t="str"/>
      <x:c r="N375" s="36" t="str">
        <x:v>工作流程|知识</x:v>
      </x:c>
      <x:c r="O375" s="36" t="str">
        <x:v>长期</x:v>
      </x:c>
      <x:c r="P375" s="36" t="str">
        <x:v>["libreoffice_calc"]</x:v>
      </x:c>
      <x:c r="Q375" s="36" t="str">
        <x:v>[{"step_id":"S1","app":"libreoffice_calc","action_key":"copy_revenue_column_to_sheet2","input_artifacts":["NetIncome.xlsx"],"output_artifacts":["NetIncome.xlsx"],"depends_on":[]},{"step_id":"S2","app":"libreoffice_calc","action_key":"summarize_revenue_and_expenses","input_artifacts":["NetIncome.xlsx"],"output_artifacts":["NetIncome.xlsx"],"depends_on":[]}]</x:v>
      </x:c>
      <x:c r="R375" s="36" t="str">
        <x:v>[]</x:v>
      </x:c>
      <x:c r="S375" s="36" t="str">
        <x:v>copy_revenue_column_to_sheet2|summarize_revenue_and_expenses</x:v>
      </x:c>
      <x:c r="T375" s="36" t="str">
        <x:v>NetIncome.xlsx</x:v>
      </x:c>
      <x:c r="U375" s="36" t="str">
        <x:v>retrieve_and_synthesize</x:v>
      </x:c>
      <x:c r="V375" s="36" t="str">
        <x:v>[{"point_id":"P1","description":"把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x:v>
      </x:c>
      <x:c r="W375" s="36" t="str">
        <x:v>1.00</x:v>
      </x:c>
      <x:c r="X375" s="39" t="str">
        <x:v>第二张表一边要能逐项核对进账，另一边要能看到进账与支出的总盘子，按以前的口径处理。</x:v>
      </x:c>
      <x:c r="Y375"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Z375" s="39" t="str">
        <x:v>不适用：当前题目不存在需要用户进一步选择的候选记忆。</x:v>
      </x:c>
      <x:c r="AA375" s="39" t="str">
        <x:v>不适用：当前题目没有指定需要排除的冲突或禁止记忆。</x:v>
      </x:c>
      <x:c r="AB375" s="39" t="str">
        <x:v>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375" s="39" t="str">
        <x:v>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375" s="39" t="str">
        <x:v>用户的完整请求是：“第二张表一边要能逐项核对进账，另一边要能看到进账与支出的总盘子，按以前的口径处理。”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375" s="39" t="str">
        <x:v>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75" s="50" t="str">
        <x:v>not_pass</x:v>
      </x:c>
      <x:c r="AG375" s="50" t="n">
        <x:v>0</x:v>
      </x:c>
    </x:row>
    <x:row r="376" ht="189" customHeight="1">
      <x:c r="A376" s="35" t="str">
        <x:v>MULTI_MM03_HQ5</x:v>
      </x:c>
      <x:c r="B376" s="36" t="str">
        <x:v>SG_COMP_MM03</x:v>
      </x:c>
      <x:c r="C376" s="36" t="str">
        <x:v>MM03</x:v>
      </x:c>
      <x:c r="D376" s="36" t="str">
        <x:v>v2_MM03</x:v>
      </x:c>
      <x:c r="E376" s="36" t="str">
        <x:v>complementary_multi_memory</x:v>
      </x:c>
      <x:c r="F376" s="36" t="str">
        <x:v>human_constraint_emphasis</x:v>
      </x:c>
      <x:c r="G376" s="36" t="str">
        <x:v>challenge</x:v>
      </x:c>
      <x:c r="H376" s="36" t="str">
        <x:v>困难</x:v>
      </x:c>
      <x:c r="I376" s="36" t="str">
        <x:v>1273e544-688f-496b-8d89-3e0f40aa0606|42e0a640-4f19-4b28-973d-729602b5a4a7</x:v>
      </x:c>
      <x:c r="J376" s="36" t="str">
        <x:v>CTX_1273e544-688f-496b-8d89-3e0f40aa0606|CTX_42e0a640-4f19-4b28-973d-729602b5a4a7</x:v>
      </x:c>
      <x:c r="K376" s="36" t="str">
        <x:v>LTM_1273e544-688f-496b-8d89-3e0f40aa0606|LTM_42e0a640-4f19-4b28-973d-729602b5a4a7</x:v>
      </x:c>
      <x:c r="L376" s="36" t="str"/>
      <x:c r="M376" s="36" t="str"/>
      <x:c r="N376" s="36" t="str">
        <x:v>工作流程|知识</x:v>
      </x:c>
      <x:c r="O376" s="36" t="str">
        <x:v>长期</x:v>
      </x:c>
      <x:c r="P376" s="36" t="str">
        <x:v>["libreoffice_calc"]</x:v>
      </x:c>
      <x:c r="Q376" s="36" t="str">
        <x:v>[{"step_id":"S1","app":"libreoffice_calc","action_key":"copy_revenue_column_to_sheet2","input_artifacts":["NetIncome.xlsx"],"output_artifacts":["NetIncome.xlsx"],"depends_on":[]},{"step_id":"S2","app":"libreoffice_calc","action_key":"summarize_revenue_and_expenses","input_artifacts":["NetIncome.xlsx"],"output_artifacts":["NetIncome.xlsx"],"depends_on":[]}]</x:v>
      </x:c>
      <x:c r="R376" s="36" t="str">
        <x:v>[]</x:v>
      </x:c>
      <x:c r="S376" s="36" t="str">
        <x:v>copy_revenue_column_to_sheet2|summarize_revenue_and_expenses</x:v>
      </x:c>
      <x:c r="T376" s="36" t="str">
        <x:v>NetIncome.xlsx</x:v>
      </x:c>
      <x:c r="U376" s="36" t="str">
        <x:v>retrieve_and_synthesize</x:v>
      </x:c>
      <x:c r="V376" s="36" t="str">
        <x:v>[{"point_id":"P1","description":"把 NetIncome.xlsx 中 Revenue 列连同表头完整复制到新建的 Sheet2。","weight":0.45,"evidence_memory_ids":["LTM_1273e544-688f-496b-8d89-3e0f40aa0606"]},{"point_id":"P2","description":"在 NetIncome.xlsx 新建 Sheet2，分别计算 Revenue 列和 Total Expenses 列的总和，并放在 Total Revenue 与 Total Expenses 两列下。","weight":0.45,"evidence_memory_ids":["LTM_42e0a640-4f19-4b28-973d-729602b5a4a7"]},{"point_id":"P3","description":"各文件和各步骤的规则不串用，不增加无来源操作","weight":0.1,"evidence_memory_ids":["LTM_1273e544-688f-496b-8d89-3e0f40aa0606","LTM_42e0a640-4f19-4b28-973d-729602b5a4a7"]}]</x:v>
      </x:c>
      <x:c r="W376" s="36" t="str">
        <x:v>1.00</x:v>
      </x:c>
      <x:c r="X376" s="39" t="str">
        <x:v>Sheet2 不能只给合计：Revenue 原列和表头要完整复制；另外分别求 Revenue、Total Expenses 总和，用指定英文列名，区域不要重叠。</x:v>
      </x:c>
      <x:c r="Y376"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Z376" s="39" t="str">
        <x:v>不适用：当前题目不存在需要用户进一步选择的候选记忆。</x:v>
      </x:c>
      <x:c r="AA376" s="39" t="str">
        <x:v>不适用：当前题目没有指定需要排除的冲突或禁止记忆。</x:v>
      </x:c>
      <x:c r="AB376" s="39" t="str">
        <x:v>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C376" s="39" t="str">
        <x:v>第1项实际操作：把 NetIncome.xlsx 中 Revenue 列连同表头完整复制到新建的 Sheet2。执行时必须满足：必须包含 Revenue 表头；目标为新建 Sheet2；不进行求和或复制其他列。 第2项实际操作：在 NetIncome.xlsx 新建 Sheet2，分别计算 Revenue 列和 Total Expenses 列的总和，并放在 Total Revenue 与 Total Expenses 两列下。执行时必须满足：目标为 Sheet2；分别汇总收入和总费用；列名使用 Total Revenue 和 Total Expenses。</x:v>
      </x:c>
      <x:c r="AD376" s="39" t="str">
        <x:v>用户的完整请求是：“Sheet2 不能只给合计：Revenue 原列和表头要完整复制；另外分别求 Revenue、Total Expenses 总和，用指定英文列名，区域不要重叠。” 第1个当前上下文：NetIncome.xlsx 已在 LibreOffice Calc 中打开。 当前请求要求在同一轮工作中得到多个结果。能够支持这些结果的完整必需记忆如下：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NetIncome.xlsx 中 Revenue 列连同表头完整复制到新建的 Sheet2；2）在 NetIncome.xlsx 新建 Sheet2，分别计算 Revenue 列和 Total Expenses 列的总和，并放在 Total Revenue 与 Total Expenses 两列下。每项操作必须分别遵守其对应文件、工作表、范围、格式和输出约束，不能用其中一项替代另一项，也不能把不同文件的规则混用。”</x:v>
      </x:c>
      <x:c r="AE376" s="39" t="str">
        <x:v>本题总分为 1.00 分，各得分点独立累计，允许语义等价表达，不要求模型输出记忆 ID，也不要求逐字复述记忆原文。
第1个得分点（0.45分）：把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第2个得分点（0.45分）：在 NetIncome.xlsx 新建 Sheet2，分别计算 Revenue 列和 Total Expenses 列的总和，并放在 Total Revenue 与 Total Expenses 两列下。该得分点所依据的完整证据为：
第1条记忆（长期/知识）：在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第3个得分点（0.10分）：各文件和各步骤的规则不串用，不增加无来源操作。该得分点所依据的完整证据为：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76" s="50" t="str">
        <x:v>not_pass</x:v>
      </x:c>
      <x:c r="AG376" s="50" t="n">
        <x:v>0</x:v>
      </x:c>
    </x:row>
    <x:row r="377" ht="216" customHeight="1">
      <x:c r="A377" s="35" t="str">
        <x:v>MULTI_MM04_HQ1</x:v>
      </x:c>
      <x:c r="B377" s="36" t="str">
        <x:v>SG_COMP_MM04</x:v>
      </x:c>
      <x:c r="C377" s="36" t="str">
        <x:v>MM04</x:v>
      </x:c>
      <x:c r="D377" s="36" t="str">
        <x:v>v2_MM04</x:v>
      </x:c>
      <x:c r="E377" s="36" t="str">
        <x:v>complementary_multi_memory</x:v>
      </x:c>
      <x:c r="F377" s="36" t="str">
        <x:v>human_context_explicit</x:v>
      </x:c>
      <x:c r="G377" s="36" t="str">
        <x:v>challenge</x:v>
      </x:c>
      <x:c r="H377" s="36" t="str">
        <x:v>困难</x:v>
      </x:c>
      <x:c r="I377" s="36" t="str">
        <x:v>01b269ae-2111-4a07-81fd-3fcd711993b0|d681960f-7bc3-4286-9913-a8812ba3261a|eb03d19a-b88d-4de4-8a64-ca0ac66f426b</x:v>
      </x:c>
      <x:c r="J377" s="36" t="str">
        <x:v>CTX_01b269ae-2111-4a07-81fd-3fcd711993b0|CTX_d681960f-7bc3-4286-9913-a8812ba3261a|CTX_eb03d19a-b88d-4de4-8a64-ca0ac66f426b</x:v>
      </x:c>
      <x:c r="K377" s="36" t="str">
        <x:v>STM_01b269ae-2111-4a07-81fd-3fcd711993b0|MTM_d681960f-7bc3-4286-9913-a8812ba3261a|LTM_eb03d19a-b88d-4de4-8a64-ca0ac66f426b</x:v>
      </x:c>
      <x:c r="L377" s="36" t="str"/>
      <x:c r="M377" s="36" t="str"/>
      <x:c r="N377" s="36" t="str">
        <x:v>工作流程|知识</x:v>
      </x:c>
      <x:c r="O377" s="36" t="str">
        <x:v>短期|中期|长期</x:v>
      </x:c>
      <x:c r="P377" s="36" t="str">
        <x:v>["libreoffice_calc"]</x:v>
      </x:c>
      <x:c r="Q377" s="36" t="str">
        <x:v>[{"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x:v>
      </x:c>
      <x:c r="R377" s="36" t="str">
        <x:v>[]</x:v>
      </x:c>
      <x:c r="S377" s="36" t="str">
        <x:v>fill_blank_from_above|assign_student_grades_from_scale|transpose_table_to_b8</x:v>
      </x:c>
      <x:c r="T377" s="36" t="str">
        <x:v>Student_Level_Fill_Blank.xlsx|Student_Grades_and_Remarks.xlsx|Students_Class_Subject_Marks.xlsx</x:v>
      </x:c>
      <x:c r="U377" s="36" t="str">
        <x:v>retrieve_and_synthesize</x:v>
      </x:c>
      <x:c r="V377" s="36" t="str">
        <x:v>[{"point_id":"P1","description":"处理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x:v>
      </x:c>
      <x:c r="W377" s="36" t="str">
        <x:v>1.00</x:v>
      </x:c>
      <x:c r="X377" s="39" t="str">
        <x:v>今天要一次交三份学生表：Student_Level_Fill_Blank 的断档照上方补，Student_Grades_and_Remarks 按评分表填等级，Students_Class_Subject_Marks 把那块成绩表转置到下面。</x:v>
      </x:c>
      <x:c r="Y377"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Z377" s="39" t="str">
        <x:v>不适用：当前题目不存在需要用户进一步选择的候选记忆。</x:v>
      </x:c>
      <x:c r="AA377" s="39" t="str">
        <x:v>不适用：当前题目没有指定需要排除的冲突或禁止记忆。</x:v>
      </x:c>
      <x:c r="AB377" s="39" t="str">
        <x:v>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C377" s="39" t="str">
        <x:v>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x:v>
      </x:c>
      <x:c r="AD377" s="39" t="str">
        <x:v>用户的完整请求是：“今天要一次交三份学生表：Student_Level_Fill_Blank 的断档照上方补，Student_Grades_and_Remarks 按评分表填等级，Students_Class_Subject_Marks 把那块成绩表转置到下面。”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E377" s="39" t="str">
        <x:v>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377" s="50" t="str">
        <x:v>not_pass</x:v>
      </x:c>
      <x:c r="AG377" s="50" t="n">
        <x:v>0</x:v>
      </x:c>
    </x:row>
    <x:row r="378" ht="216" customHeight="1">
      <x:c r="A378" s="35" t="str">
        <x:v>MULTI_MM04_HQ2</x:v>
      </x:c>
      <x:c r="B378" s="36" t="str">
        <x:v>SG_COMP_MM04</x:v>
      </x:c>
      <x:c r="C378" s="36" t="str">
        <x:v>MM04</x:v>
      </x:c>
      <x:c r="D378" s="36" t="str">
        <x:v>v2_MM04</x:v>
      </x:c>
      <x:c r="E378" s="36" t="str">
        <x:v>complementary_multi_memory</x:v>
      </x:c>
      <x:c r="F378" s="36" t="str">
        <x:v>human_goal_oriented</x:v>
      </x:c>
      <x:c r="G378" s="36" t="str">
        <x:v>challenge</x:v>
      </x:c>
      <x:c r="H378" s="36" t="str">
        <x:v>困难</x:v>
      </x:c>
      <x:c r="I378" s="36" t="str">
        <x:v>01b269ae-2111-4a07-81fd-3fcd711993b0|d681960f-7bc3-4286-9913-a8812ba3261a|eb03d19a-b88d-4de4-8a64-ca0ac66f426b</x:v>
      </x:c>
      <x:c r="J378" s="36" t="str">
        <x:v>CTX_01b269ae-2111-4a07-81fd-3fcd711993b0|CTX_d681960f-7bc3-4286-9913-a8812ba3261a|CTX_eb03d19a-b88d-4de4-8a64-ca0ac66f426b</x:v>
      </x:c>
      <x:c r="K378" s="36" t="str">
        <x:v>STM_01b269ae-2111-4a07-81fd-3fcd711993b0|MTM_d681960f-7bc3-4286-9913-a8812ba3261a|LTM_eb03d19a-b88d-4de4-8a64-ca0ac66f426b</x:v>
      </x:c>
      <x:c r="L378" s="36" t="str"/>
      <x:c r="M378" s="36" t="str"/>
      <x:c r="N378" s="36" t="str">
        <x:v>工作流程|知识</x:v>
      </x:c>
      <x:c r="O378" s="36" t="str">
        <x:v>短期|中期|长期</x:v>
      </x:c>
      <x:c r="P378" s="36" t="str">
        <x:v>["libreoffice_calc"]</x:v>
      </x:c>
      <x:c r="Q378" s="36" t="str">
        <x:v>[{"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x:v>
      </x:c>
      <x:c r="R378" s="36" t="str">
        <x:v>[]</x:v>
      </x:c>
      <x:c r="S378" s="36" t="str">
        <x:v>fill_blank_from_above|assign_student_grades_from_scale|transpose_table_to_b8</x:v>
      </x:c>
      <x:c r="T378" s="36" t="str">
        <x:v>Student_Level_Fill_Blank.xlsx|Student_Grades_and_Remarks.xlsx|Students_Class_Subject_Marks.xlsx</x:v>
      </x:c>
      <x:c r="U378" s="36" t="str">
        <x:v>retrieve_and_synthesize</x:v>
      </x:c>
      <x:c r="V378" s="36" t="str">
        <x:v>[{"point_id":"P1","description":"处理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x:v>
      </x:c>
      <x:c r="W378" s="36" t="str">
        <x:v>1.00</x:v>
      </x:c>
      <x:c r="X378" s="39" t="str">
        <x:v>学生数据里有等级断档、有按评分尺度补等级的，还有一张要换行列展示。按上次各自的规则处理，三份都别动无关区域。</x:v>
      </x:c>
      <x:c r="Y378"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Z378" s="39" t="str">
        <x:v>不适用：当前题目不存在需要用户进一步选择的候选记忆。</x:v>
      </x:c>
      <x:c r="AA378" s="39" t="str">
        <x:v>不适用：当前题目没有指定需要排除的冲突或禁止记忆。</x:v>
      </x:c>
      <x:c r="AB378" s="39" t="str">
        <x:v>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C378" s="39" t="str">
        <x:v>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x:v>
      </x:c>
      <x:c r="AD378" s="39" t="str">
        <x:v>用户的完整请求是：“学生数据里有等级断档、有按评分尺度补等级的，还有一张要换行列展示。按上次各自的规则处理，三份都别动无关区域。”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E378" s="39" t="str">
        <x:v>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378" s="50" t="str">
        <x:v>not_pass</x:v>
      </x:c>
      <x:c r="AG378" s="50" t="n">
        <x:v>0</x:v>
      </x:c>
    </x:row>
    <x:row r="379" ht="216" customHeight="1">
      <x:c r="A379" s="35" t="str">
        <x:v>MULTI_MM04_HQ3</x:v>
      </x:c>
      <x:c r="B379" s="36" t="str">
        <x:v>SG_COMP_MM04</x:v>
      </x:c>
      <x:c r="C379" s="36" t="str">
        <x:v>MM04</x:v>
      </x:c>
      <x:c r="D379" s="36" t="str">
        <x:v>v2_MM04</x:v>
      </x:c>
      <x:c r="E379" s="36" t="str">
        <x:v>complementary_multi_memory</x:v>
      </x:c>
      <x:c r="F379" s="36" t="str">
        <x:v>contextual_ellipsis</x:v>
      </x:c>
      <x:c r="G379" s="36" t="str">
        <x:v>challenge</x:v>
      </x:c>
      <x:c r="H379" s="36" t="str">
        <x:v>困难</x:v>
      </x:c>
      <x:c r="I379" s="36" t="str">
        <x:v>01b269ae-2111-4a07-81fd-3fcd711993b0|d681960f-7bc3-4286-9913-a8812ba3261a|eb03d19a-b88d-4de4-8a64-ca0ac66f426b</x:v>
      </x:c>
      <x:c r="J379" s="36" t="str">
        <x:v>CTX_01b269ae-2111-4a07-81fd-3fcd711993b0|CTX_d681960f-7bc3-4286-9913-a8812ba3261a|CTX_eb03d19a-b88d-4de4-8a64-ca0ac66f426b</x:v>
      </x:c>
      <x:c r="K379" s="36" t="str">
        <x:v>STM_01b269ae-2111-4a07-81fd-3fcd711993b0|MTM_d681960f-7bc3-4286-9913-a8812ba3261a|LTM_eb03d19a-b88d-4de4-8a64-ca0ac66f426b</x:v>
      </x:c>
      <x:c r="L379" s="36" t="str"/>
      <x:c r="M379" s="36" t="str"/>
      <x:c r="N379" s="36" t="str">
        <x:v>工作流程|知识</x:v>
      </x:c>
      <x:c r="O379" s="36" t="str">
        <x:v>短期|中期|长期</x:v>
      </x:c>
      <x:c r="P379" s="36" t="str">
        <x:v>["libreoffice_calc"]</x:v>
      </x:c>
      <x:c r="Q379" s="36" t="str">
        <x:v>[{"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x:v>
      </x:c>
      <x:c r="R379" s="36" t="str">
        <x:v>[]</x:v>
      </x:c>
      <x:c r="S379" s="36" t="str">
        <x:v>fill_blank_from_above|assign_student_grades_from_scale|transpose_table_to_b8</x:v>
      </x:c>
      <x:c r="T379" s="36" t="str">
        <x:v>Student_Level_Fill_Blank.xlsx|Student_Grades_and_Remarks.xlsx|Students_Class_Subject_Marks.xlsx</x:v>
      </x:c>
      <x:c r="U379" s="36" t="str">
        <x:v>retrieve_and_synthesize</x:v>
      </x:c>
      <x:c r="V379" s="36" t="str">
        <x:v>[{"point_id":"P1","description":"处理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x:v>
      </x:c>
      <x:c r="W379" s="36" t="str">
        <x:v>1.00</x:v>
      </x:c>
      <x:c r="X379" s="39" t="str">
        <x:v>这三份学生表我都开着。前一份补 B1:E30，中间那份给所有人判等级，最后一份把 B2:F5 换个方向放到 B8 开始的位置。</x:v>
      </x:c>
      <x:c r="Y379"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Z379" s="39" t="str">
        <x:v>不适用：当前题目不存在需要用户进一步选择的候选记忆。</x:v>
      </x:c>
      <x:c r="AA379" s="39" t="str">
        <x:v>不适用：当前题目没有指定需要排除的冲突或禁止记忆。</x:v>
      </x:c>
      <x:c r="AB379" s="39" t="str">
        <x:v>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C379" s="39" t="str">
        <x:v>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x:v>
      </x:c>
      <x:c r="AD379" s="39" t="str">
        <x:v>用户的完整请求是：“这三份学生表我都开着。前一份补 B1:E30，中间那份给所有人判等级，最后一份把 B2:F5 换个方向放到 B8 开始的位置。”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E379" s="39" t="str">
        <x:v>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379" s="50" t="str">
        <x:v>not_pass</x:v>
      </x:c>
      <x:c r="AG379" s="50" t="n">
        <x:v>0</x:v>
      </x:c>
    </x:row>
    <x:row r="380" ht="216" customHeight="1">
      <x:c r="A380" s="35" t="str">
        <x:v>MULTI_MM04_HQ4</x:v>
      </x:c>
      <x:c r="B380" s="36" t="str">
        <x:v>SG_COMP_MM04</x:v>
      </x:c>
      <x:c r="C380" s="36" t="str">
        <x:v>MM04</x:v>
      </x:c>
      <x:c r="D380" s="36" t="str">
        <x:v>v2_MM04</x:v>
      </x:c>
      <x:c r="E380" s="36" t="str">
        <x:v>complementary_multi_memory</x:v>
      </x:c>
      <x:c r="F380" s="36" t="str">
        <x:v>low_overlap_paraphrase</x:v>
      </x:c>
      <x:c r="G380" s="36" t="str">
        <x:v>challenge</x:v>
      </x:c>
      <x:c r="H380" s="36" t="str">
        <x:v>困难</x:v>
      </x:c>
      <x:c r="I380" s="36" t="str">
        <x:v>01b269ae-2111-4a07-81fd-3fcd711993b0|d681960f-7bc3-4286-9913-a8812ba3261a|eb03d19a-b88d-4de4-8a64-ca0ac66f426b</x:v>
      </x:c>
      <x:c r="J380" s="36" t="str">
        <x:v>CTX_01b269ae-2111-4a07-81fd-3fcd711993b0|CTX_d681960f-7bc3-4286-9913-a8812ba3261a|CTX_eb03d19a-b88d-4de4-8a64-ca0ac66f426b</x:v>
      </x:c>
      <x:c r="K380" s="36" t="str">
        <x:v>STM_01b269ae-2111-4a07-81fd-3fcd711993b0|MTM_d681960f-7bc3-4286-9913-a8812ba3261a|LTM_eb03d19a-b88d-4de4-8a64-ca0ac66f426b</x:v>
      </x:c>
      <x:c r="L380" s="36" t="str"/>
      <x:c r="M380" s="36" t="str"/>
      <x:c r="N380" s="36" t="str">
        <x:v>工作流程|知识</x:v>
      </x:c>
      <x:c r="O380" s="36" t="str">
        <x:v>短期|中期|长期</x:v>
      </x:c>
      <x:c r="P380" s="36" t="str">
        <x:v>["libreoffice_calc"]</x:v>
      </x:c>
      <x:c r="Q380" s="36" t="str">
        <x:v>[{"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x:v>
      </x:c>
      <x:c r="R380" s="36" t="str">
        <x:v>[]</x:v>
      </x:c>
      <x:c r="S380" s="36" t="str">
        <x:v>fill_blank_from_above|assign_student_grades_from_scale|transpose_table_to_b8</x:v>
      </x:c>
      <x:c r="T380" s="36" t="str">
        <x:v>Student_Level_Fill_Blank.xlsx|Student_Grades_and_Remarks.xlsx|Students_Class_Subject_Marks.xlsx</x:v>
      </x:c>
      <x:c r="U380" s="36" t="str">
        <x:v>retrieve_and_synthesize</x:v>
      </x:c>
      <x:c r="V380" s="36" t="str">
        <x:v>[{"point_id":"P1","description":"处理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x:v>
      </x:c>
      <x:c r="W380" s="36" t="str">
        <x:v>1.00</x:v>
      </x:c>
      <x:c r="X380" s="39" t="str">
        <x:v>我需要把缺失的分类接上、按已有标准完成学生评定，再把另一张科目矩阵改成纵横互换的展示，仍按以前的落点。</x:v>
      </x:c>
      <x:c r="Y380"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Z380" s="39" t="str">
        <x:v>不适用：当前题目不存在需要用户进一步选择的候选记忆。</x:v>
      </x:c>
      <x:c r="AA380" s="39" t="str">
        <x:v>不适用：当前题目没有指定需要排除的冲突或禁止记忆。</x:v>
      </x:c>
      <x:c r="AB380" s="39" t="str">
        <x:v>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C380" s="39" t="str">
        <x:v>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x:v>
      </x:c>
      <x:c r="AD380" s="39" t="str">
        <x:v>用户的完整请求是：“我需要把缺失的分类接上、按已有标准完成学生评定，再把另一张科目矩阵改成纵横互换的展示，仍按以前的落点。”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E380" s="39" t="str">
        <x:v>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380" s="50" t="str">
        <x:v>not_pass</x:v>
      </x:c>
      <x:c r="AG380" s="50" t="n">
        <x:v>0</x:v>
      </x:c>
    </x:row>
    <x:row r="381" ht="216" customHeight="1">
      <x:c r="A381" s="35" t="str">
        <x:v>MULTI_MM04_HQ5</x:v>
      </x:c>
      <x:c r="B381" s="36" t="str">
        <x:v>SG_COMP_MM04</x:v>
      </x:c>
      <x:c r="C381" s="36" t="str">
        <x:v>MM04</x:v>
      </x:c>
      <x:c r="D381" s="36" t="str">
        <x:v>v2_MM04</x:v>
      </x:c>
      <x:c r="E381" s="36" t="str">
        <x:v>complementary_multi_memory</x:v>
      </x:c>
      <x:c r="F381" s="36" t="str">
        <x:v>human_constraint_emphasis</x:v>
      </x:c>
      <x:c r="G381" s="36" t="str">
        <x:v>challenge</x:v>
      </x:c>
      <x:c r="H381" s="36" t="str">
        <x:v>困难</x:v>
      </x:c>
      <x:c r="I381" s="36" t="str">
        <x:v>01b269ae-2111-4a07-81fd-3fcd711993b0|d681960f-7bc3-4286-9913-a8812ba3261a|eb03d19a-b88d-4de4-8a64-ca0ac66f426b</x:v>
      </x:c>
      <x:c r="J381" s="36" t="str">
        <x:v>CTX_01b269ae-2111-4a07-81fd-3fcd711993b0|CTX_d681960f-7bc3-4286-9913-a8812ba3261a|CTX_eb03d19a-b88d-4de4-8a64-ca0ac66f426b</x:v>
      </x:c>
      <x:c r="K381" s="36" t="str">
        <x:v>STM_01b269ae-2111-4a07-81fd-3fcd711993b0|MTM_d681960f-7bc3-4286-9913-a8812ba3261a|LTM_eb03d19a-b88d-4de4-8a64-ca0ac66f426b</x:v>
      </x:c>
      <x:c r="L381" s="36" t="str"/>
      <x:c r="M381" s="36" t="str"/>
      <x:c r="N381" s="36" t="str">
        <x:v>工作流程|知识</x:v>
      </x:c>
      <x:c r="O381" s="36" t="str">
        <x:v>短期|中期|长期</x:v>
      </x:c>
      <x:c r="P381" s="36" t="str">
        <x:v>["libreoffice_calc"]</x:v>
      </x:c>
      <x:c r="Q381" s="36" t="str">
        <x:v>[{"step_id":"S1","app":"libreoffice_calc","action_key":"fill_blank_from_above","input_artifacts":["Student_Level_Fill_Blank.xlsx"],"output_artifacts":["Student_Level_Fill_Blank.xlsx"],"depends_on":[]},{"step_id":"S2","app":"libreoffice_calc","action_key":"assign_student_grades_from_scale","input_artifacts":["Student_Grades_and_Remarks.xlsx"],"output_artifacts":["Student_Grades_and_Remarks.xlsx"],"depends_on":[]},{"step_id":"S3","app":"libreoffice_calc","action_key":"transpose_table_to_b8","input_artifacts":["Students_Class_Subject_Marks.xlsx"],"output_artifacts":["Students_Class_Subject_Marks.xlsx"],"depends_on":[]}]</x:v>
      </x:c>
      <x:c r="R381" s="36" t="str">
        <x:v>[]</x:v>
      </x:c>
      <x:c r="S381" s="36" t="str">
        <x:v>fill_blank_from_above|assign_student_grades_from_scale|transpose_table_to_b8</x:v>
      </x:c>
      <x:c r="T381" s="36" t="str">
        <x:v>Student_Level_Fill_Blank.xlsx|Student_Grades_and_Remarks.xlsx|Students_Class_Subject_Marks.xlsx</x:v>
      </x:c>
      <x:c r="U381" s="36" t="str">
        <x:v>retrieve_and_synthesize</x:v>
      </x:c>
      <x:c r="V381" s="36" t="str">
        <x:v>[{"point_id":"P1","description":"处理 Student_Level_Fill_Blank.xlsx 时，将 B1:E30 内的空白单元格填成其上方单元格的值，并保持其他区域不变。","weight":0.3,"evidence_memory_ids":["STM_01b269ae-2111-4a07-81fd-3fcd711993b0"]},{"point_id":"P2","description":"在 Student_Grades_and_Remarks.xlsx 中依据上方的评分尺度表，为下方每位学生计算并填写对应等级。","weight":0.3,"evidence_memory_ids":["MTM_d681960f-7bc3-4286-9913-a8812ba3261a"]},{"point_id":"P3","description":"在 Students_Class_Subject_Marks.xlsx 中转置 B2:F5 表格，并把转置结果粘贴到以 B8 为左上角的区域。","weight":0.3,"evidence_memory_ids":["LTM_eb03d19a-b88d-4de4-8a64-ca0ac66f426b"]},{"point_id":"P4","description":"各文件和各步骤的规则不串用，不增加无来源操作","weight":0.1,"evidence_memory_ids":["STM_01b269ae-2111-4a07-81fd-3fcd711993b0","MTM_d681960f-7bc3-4286-9913-a8812ba3261a","LTM_eb03d19a-b88d-4de4-8a64-ca0ac66f426b"]}]</x:v>
      </x:c>
      <x:c r="W381" s="36" t="str">
        <x:v>1.00</x:v>
      </x:c>
      <x:c r="X381" s="39" t="str">
        <x:v>三个结果都要且别串表：空白只补 Student_Level 的 B1:E30；等级只按现有 scale table；转置源只能是 B2:F5，目标左上角必须是 B8。</x:v>
      </x:c>
      <x:c r="Y381"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Z381" s="39" t="str">
        <x:v>不适用：当前题目不存在需要用户进一步选择的候选记忆。</x:v>
      </x:c>
      <x:c r="AA381" s="39" t="str">
        <x:v>不适用：当前题目没有指定需要排除的冲突或禁止记忆。</x:v>
      </x:c>
      <x:c r="AB381" s="39" t="str">
        <x:v>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C381" s="39" t="str">
        <x:v>第1项实际操作：处理 Student_Level_Fill_Blank.xlsx 时，将 B1:E30 内的空白单元格填成其上方单元格的值，并保持其他区域不变。执行时必须满足：仅处理 B1:E30；不修改其他区域，即使其他区域也为空白。 第2项实际操作：在 Student_Grades_and_Remarks.xlsx 中依据上方的评分尺度表，为下方每位学生计算并填写对应等级。执行时必须满足：严格使用现有 scale table；覆盖所有学生；不修改无关区域。 第3项实际操作：在 Students_Class_Subject_Marks.xlsx 中转置 B2:F5 表格，并把转置结果粘贴到以 B8 为左上角的区域。执行时必须满足：源范围为 B2:F5；执行矩阵转置；目标左上角必须是 B8。</x:v>
      </x:c>
      <x:c r="AD381" s="39" t="str">
        <x:v>用户的完整请求是：“三个结果都要且别串表：空白只补 Student_Level 的 B1:E30；等级只按现有 scale table；转置源只能是 B2:F5，目标左上角必须是 B8。” 第1个当前上下文：Student_Level_Fill_Blank.xlsx 已在 LibreOffice Calc 中打开。 第2个当前上下文：Student_Grades_and_Remarks.xlsx 已在 LibreOffice Calc 中打开。 第3个当前上下文：Students_Class_Subject_Marks.xlsx 已在 LibreOffice Calc 中打开。 当前请求要求在同一轮工作中得到多个结果。能够支持这些结果的完整必需记忆如下：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为左上角的区域。每项操作必须分别遵守其对应文件、工作表、范围、格式和输出约束，不能用其中一项替代另一项，也不能把不同文件的规则混用。”</x:v>
      </x:c>
      <x:c r="AE381" s="39" t="str">
        <x:v>本题总分为 1.00 分，各得分点独立累计，允许语义等价表达，不要求模型输出记忆 ID，也不要求逐字复述记忆原文。
第1个得分点（0.30分）：处理 Student_Level_Fill_Blank.xlsx 时，将 B1:E30 内的空白单元格填成其上方单元格的值，并保持其他区域不变。该得分点所依据的完整证据为：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第2个得分点（0.30分）：在 Student_Grades_and_Remarks.xlsx 中依据上方的评分尺度表，为下方每位学生计算并填写对应等级。该得分点所依据的完整证据为：
第1条记忆（中期/知识）：在 Student_Grades_and_Remarks.xlsx 中依据上方的评分尺度表，为下方每位学生计算并填写对应等级。关键约束：严格使用现有 scale table；覆盖所有学生；不修改无关区域。
第3个得分点（0.30分）：在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第4个得分点（0.10分）：各文件和各步骤的规则不串用，不增加无来源操作。该得分点所依据的完整证据为：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381" s="50" t="str">
        <x:v>not_pass</x:v>
      </x:c>
      <x:c r="AG381" s="50" t="n">
        <x:v>0</x:v>
      </x:c>
    </x:row>
    <x:row r="382" ht="243" customHeight="1">
      <x:c r="A382" s="35" t="str">
        <x:v>MULTI_MM05_HQ1</x:v>
      </x:c>
      <x:c r="B382" s="36" t="str">
        <x:v>SG_COMP_MM05</x:v>
      </x:c>
      <x:c r="C382" s="36" t="str">
        <x:v>MM05</x:v>
      </x:c>
      <x:c r="D382" s="36" t="str">
        <x:v>v2_MM05</x:v>
      </x:c>
      <x:c r="E382" s="36" t="str">
        <x:v>complementary_multi_memory</x:v>
      </x:c>
      <x:c r="F382" s="36" t="str">
        <x:v>human_context_explicit</x:v>
      </x:c>
      <x:c r="G382" s="36" t="str">
        <x:v>challenge</x:v>
      </x:c>
      <x:c r="H382" s="36" t="str">
        <x:v>困难</x:v>
      </x:c>
      <x:c r="I382" s="36" t="str">
        <x:v>0bf05a7d-b28b-44d2-955a-50b41e24012a|a9f325aa-8c05-4e4f-8341-9e4358565f4f|abed40dc-063f-4598-8ba5-9fe749c0615d</x:v>
      </x:c>
      <x:c r="J382" s="36" t="str">
        <x:v>CTX_0bf05a7d-b28b-44d2-955a-50b41e24012a|CTX_a9f325aa-8c05-4e4f-8341-9e4358565f4f|CTX_abed40dc-063f-4598-8ba5-9fe749c0615d</x:v>
      </x:c>
      <x:c r="K382" s="36" t="str">
        <x:v>LTM_0bf05a7d-b28b-44d2-955a-50b41e24012a|MTM_a9f325aa-8c05-4e4f-8341-9e4358565f4f|STM_abed40dc-063f-4598-8ba5-9fe749c0615d</x:v>
      </x:c>
      <x:c r="L382" s="36" t="str"/>
      <x:c r="M382" s="36" t="str"/>
      <x:c r="N382" s="36" t="str">
        <x:v>工作流程</x:v>
      </x:c>
      <x:c r="O382" s="36" t="str">
        <x:v>长期|中期|短期</x:v>
      </x:c>
      <x:c r="P382" s="36" t="str">
        <x:v>["libreoffice_calc"]</x:v>
      </x:c>
      <x:c r="Q382" s="36" t="str">
        <x:v>[{"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x:v>
      </x:c>
      <x:c r="R382" s="36" t="str">
        <x:v>[]</x:v>
      </x:c>
      <x:c r="S382" s="36" t="str">
        <x:v>pad_customer_ids_to_seven_digits|clean_movie_titles|extract_unique_names_preserving_order</x:v>
      </x:c>
      <x:c r="T382" s="36" t="str">
        <x:v>Customers_New_7digit_Id.xlsx|Movie_title_garbage_clean.xlsx|Names_Duplicate_Unique.xlsx</x:v>
      </x:c>
      <x:c r="U382" s="36" t="str">
        <x:v>retrieve_and_synthesize</x:v>
      </x:c>
      <x:c r="V382" s="36" t="str">
        <x:v>[{"point_id":"P1","description":"把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x:v>
      </x:c>
      <x:c r="W382" s="36" t="str">
        <x:v>1.00</x:v>
      </x:c>
      <x:c r="X382" s="39" t="str">
        <x:v>三份导入表一起清一下：客户编号补成 7 位，电影标题整理成规范大小写，姓名表去重但顺序别乱，原始列都留着。</x:v>
      </x:c>
      <x:c r="Y382"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82" s="39" t="str">
        <x:v>不适用：当前题目不存在需要用户进一步选择的候选记忆。</x:v>
      </x:c>
      <x:c r="AA382" s="39" t="str">
        <x:v>不适用：当前题目没有指定需要排除的冲突或禁止记忆。</x:v>
      </x:c>
      <x:c r="AB382" s="39" t="str">
        <x:v>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82" s="39" t="str">
        <x:v>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82" s="39" t="str">
        <x:v>用户的完整请求是：“三份导入表一起清一下：客户编号补成 7 位，电影标题整理成规范大小写，姓名表去重但顺序别乱，原始列都留着。”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82" s="39" t="str">
        <x:v>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82" s="50" t="str">
        <x:v>not_pass</x:v>
      </x:c>
      <x:c r="AG382" s="50" t="n">
        <x:v>0</x:v>
      </x:c>
    </x:row>
    <x:row r="383" ht="243" customHeight="1">
      <x:c r="A383" s="35" t="str">
        <x:v>MULTI_MM05_HQ2</x:v>
      </x:c>
      <x:c r="B383" s="36" t="str">
        <x:v>SG_COMP_MM05</x:v>
      </x:c>
      <x:c r="C383" s="36" t="str">
        <x:v>MM05</x:v>
      </x:c>
      <x:c r="D383" s="36" t="str">
        <x:v>v2_MM05</x:v>
      </x:c>
      <x:c r="E383" s="36" t="str">
        <x:v>complementary_multi_memory</x:v>
      </x:c>
      <x:c r="F383" s="36" t="str">
        <x:v>human_goal_oriented</x:v>
      </x:c>
      <x:c r="G383" s="36" t="str">
        <x:v>challenge</x:v>
      </x:c>
      <x:c r="H383" s="36" t="str">
        <x:v>困难</x:v>
      </x:c>
      <x:c r="I383" s="36" t="str">
        <x:v>0bf05a7d-b28b-44d2-955a-50b41e24012a|a9f325aa-8c05-4e4f-8341-9e4358565f4f|abed40dc-063f-4598-8ba5-9fe749c0615d</x:v>
      </x:c>
      <x:c r="J383" s="36" t="str">
        <x:v>CTX_0bf05a7d-b28b-44d2-955a-50b41e24012a|CTX_a9f325aa-8c05-4e4f-8341-9e4358565f4f|CTX_abed40dc-063f-4598-8ba5-9fe749c0615d</x:v>
      </x:c>
      <x:c r="K383" s="36" t="str">
        <x:v>LTM_0bf05a7d-b28b-44d2-955a-50b41e24012a|MTM_a9f325aa-8c05-4e4f-8341-9e4358565f4f|STM_abed40dc-063f-4598-8ba5-9fe749c0615d</x:v>
      </x:c>
      <x:c r="L383" s="36" t="str"/>
      <x:c r="M383" s="36" t="str"/>
      <x:c r="N383" s="36" t="str">
        <x:v>工作流程</x:v>
      </x:c>
      <x:c r="O383" s="36" t="str">
        <x:v>长期|中期|短期</x:v>
      </x:c>
      <x:c r="P383" s="36" t="str">
        <x:v>["libreoffice_calc"]</x:v>
      </x:c>
      <x:c r="Q383" s="36" t="str">
        <x:v>[{"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x:v>
      </x:c>
      <x:c r="R383" s="36" t="str">
        <x:v>[]</x:v>
      </x:c>
      <x:c r="S383" s="36" t="str">
        <x:v>pad_customer_ids_to_seven_digits|clean_movie_titles|extract_unique_names_preserving_order</x:v>
      </x:c>
      <x:c r="T383" s="36" t="str">
        <x:v>Customers_New_7digit_Id.xlsx|Movie_title_garbage_clean.xlsx|Names_Duplicate_Unique.xlsx</x:v>
      </x:c>
      <x:c r="U383" s="36" t="str">
        <x:v>retrieve_and_synthesize</x:v>
      </x:c>
      <x:c r="V383" s="36" t="str">
        <x:v>[{"point_id":"P1","description":"把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x:v>
      </x:c>
      <x:c r="W383" s="36" t="str">
        <x:v>1.00</x:v>
      </x:c>
      <x:c r="X383" s="39" t="str">
        <x:v>系统导入前还卡着编号长度、片名格式和重复姓名这三类问题。按我们以前分别处理的方式一次整理好，别覆盖源数据。</x:v>
      </x:c>
      <x:c r="Y383"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83" s="39" t="str">
        <x:v>不适用：当前题目不存在需要用户进一步选择的候选记忆。</x:v>
      </x:c>
      <x:c r="AA383" s="39" t="str">
        <x:v>不适用：当前题目没有指定需要排除的冲突或禁止记忆。</x:v>
      </x:c>
      <x:c r="AB383" s="39" t="str">
        <x:v>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83" s="39" t="str">
        <x:v>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83" s="39" t="str">
        <x:v>用户的完整请求是：“系统导入前还卡着编号长度、片名格式和重复姓名这三类问题。按我们以前分别处理的方式一次整理好，别覆盖源数据。”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83" s="39" t="str">
        <x:v>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83" s="50" t="str">
        <x:v>not_pass</x:v>
      </x:c>
      <x:c r="AG383" s="50" t="n">
        <x:v>0</x:v>
      </x:c>
    </x:row>
    <x:row r="384" ht="243" customHeight="1">
      <x:c r="A384" s="35" t="str">
        <x:v>MULTI_MM05_HQ3</x:v>
      </x:c>
      <x:c r="B384" s="36" t="str">
        <x:v>SG_COMP_MM05</x:v>
      </x:c>
      <x:c r="C384" s="36" t="str">
        <x:v>MM05</x:v>
      </x:c>
      <x:c r="D384" s="36" t="str">
        <x:v>v2_MM05</x:v>
      </x:c>
      <x:c r="E384" s="36" t="str">
        <x:v>complementary_multi_memory</x:v>
      </x:c>
      <x:c r="F384" s="36" t="str">
        <x:v>contextual_ellipsis</x:v>
      </x:c>
      <x:c r="G384" s="36" t="str">
        <x:v>challenge</x:v>
      </x:c>
      <x:c r="H384" s="36" t="str">
        <x:v>困难</x:v>
      </x:c>
      <x:c r="I384" s="36" t="str">
        <x:v>0bf05a7d-b28b-44d2-955a-50b41e24012a|a9f325aa-8c05-4e4f-8341-9e4358565f4f|abed40dc-063f-4598-8ba5-9fe749c0615d</x:v>
      </x:c>
      <x:c r="J384" s="36" t="str">
        <x:v>CTX_0bf05a7d-b28b-44d2-955a-50b41e24012a|CTX_a9f325aa-8c05-4e4f-8341-9e4358565f4f|CTX_abed40dc-063f-4598-8ba5-9fe749c0615d</x:v>
      </x:c>
      <x:c r="K384" s="36" t="str">
        <x:v>LTM_0bf05a7d-b28b-44d2-955a-50b41e24012a|MTM_a9f325aa-8c05-4e4f-8341-9e4358565f4f|STM_abed40dc-063f-4598-8ba5-9fe749c0615d</x:v>
      </x:c>
      <x:c r="L384" s="36" t="str"/>
      <x:c r="M384" s="36" t="str"/>
      <x:c r="N384" s="36" t="str">
        <x:v>工作流程</x:v>
      </x:c>
      <x:c r="O384" s="36" t="str">
        <x:v>长期|中期|短期</x:v>
      </x:c>
      <x:c r="P384" s="36" t="str">
        <x:v>["libreoffice_calc"]</x:v>
      </x:c>
      <x:c r="Q384" s="36" t="str">
        <x:v>[{"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x:v>
      </x:c>
      <x:c r="R384" s="36" t="str">
        <x:v>[]</x:v>
      </x:c>
      <x:c r="S384" s="36" t="str">
        <x:v>pad_customer_ids_to_seven_digits|clean_movie_titles|extract_unique_names_preserving_order</x:v>
      </x:c>
      <x:c r="T384" s="36" t="str">
        <x:v>Customers_New_7digit_Id.xlsx|Movie_title_garbage_clean.xlsx|Names_Duplicate_Unique.xlsx</x:v>
      </x:c>
      <x:c r="U384" s="36" t="str">
        <x:v>retrieve_and_synthesize</x:v>
      </x:c>
      <x:c r="V384" s="36" t="str">
        <x:v>[{"point_id":"P1","description":"把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x:v>
      </x:c>
      <x:c r="W384" s="36" t="str">
        <x:v>1.00</x:v>
      </x:c>
      <x:c r="X384" s="39" t="str">
        <x:v>Customers、Movie titles 和 Names 那三张表我都打开了。编号前面补零，片名清空格后规范大小写，姓名只留首次出现的那份到目标列。</x:v>
      </x:c>
      <x:c r="Y384"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84" s="39" t="str">
        <x:v>不适用：当前题目不存在需要用户进一步选择的候选记忆。</x:v>
      </x:c>
      <x:c r="AA384" s="39" t="str">
        <x:v>不适用：当前题目没有指定需要排除的冲突或禁止记忆。</x:v>
      </x:c>
      <x:c r="AB384" s="39" t="str">
        <x:v>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84" s="39" t="str">
        <x:v>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84" s="39" t="str">
        <x:v>用户的完整请求是：“Customers、Movie titles 和 Names 那三张表我都打开了。编号前面补零，片名清空格后规范大小写，姓名只留首次出现的那份到目标列。”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84" s="39" t="str">
        <x:v>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84" s="50" t="str">
        <x:v>not_pass</x:v>
      </x:c>
      <x:c r="AG384" s="50" t="n">
        <x:v>0</x:v>
      </x:c>
    </x:row>
    <x:row r="385" ht="243" customHeight="1">
      <x:c r="A385" s="35" t="str">
        <x:v>MULTI_MM05_HQ4</x:v>
      </x:c>
      <x:c r="B385" s="36" t="str">
        <x:v>SG_COMP_MM05</x:v>
      </x:c>
      <x:c r="C385" s="36" t="str">
        <x:v>MM05</x:v>
      </x:c>
      <x:c r="D385" s="36" t="str">
        <x:v>v2_MM05</x:v>
      </x:c>
      <x:c r="E385" s="36" t="str">
        <x:v>complementary_multi_memory</x:v>
      </x:c>
      <x:c r="F385" s="36" t="str">
        <x:v>low_overlap_paraphrase</x:v>
      </x:c>
      <x:c r="G385" s="36" t="str">
        <x:v>challenge</x:v>
      </x:c>
      <x:c r="H385" s="36" t="str">
        <x:v>困难</x:v>
      </x:c>
      <x:c r="I385" s="36" t="str">
        <x:v>0bf05a7d-b28b-44d2-955a-50b41e24012a|a9f325aa-8c05-4e4f-8341-9e4358565f4f|abed40dc-063f-4598-8ba5-9fe749c0615d</x:v>
      </x:c>
      <x:c r="J385" s="36" t="str">
        <x:v>CTX_0bf05a7d-b28b-44d2-955a-50b41e24012a|CTX_a9f325aa-8c05-4e4f-8341-9e4358565f4f|CTX_abed40dc-063f-4598-8ba5-9fe749c0615d</x:v>
      </x:c>
      <x:c r="K385" s="36" t="str">
        <x:v>LTM_0bf05a7d-b28b-44d2-955a-50b41e24012a|MTM_a9f325aa-8c05-4e4f-8341-9e4358565f4f|STM_abed40dc-063f-4598-8ba5-9fe749c0615d</x:v>
      </x:c>
      <x:c r="L385" s="36" t="str"/>
      <x:c r="M385" s="36" t="str"/>
      <x:c r="N385" s="36" t="str">
        <x:v>工作流程</x:v>
      </x:c>
      <x:c r="O385" s="36" t="str">
        <x:v>长期|中期|短期</x:v>
      </x:c>
      <x:c r="P385" s="36" t="str">
        <x:v>["libreoffice_calc"]</x:v>
      </x:c>
      <x:c r="Q385" s="36" t="str">
        <x:v>[{"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x:v>
      </x:c>
      <x:c r="R385" s="36" t="str">
        <x:v>[]</x:v>
      </x:c>
      <x:c r="S385" s="36" t="str">
        <x:v>pad_customer_ids_to_seven_digits|clean_movie_titles|extract_unique_names_preserving_order</x:v>
      </x:c>
      <x:c r="T385" s="36" t="str">
        <x:v>Customers_New_7digit_Id.xlsx|Movie_title_garbage_clean.xlsx|Names_Duplicate_Unique.xlsx</x:v>
      </x:c>
      <x:c r="U385" s="36" t="str">
        <x:v>retrieve_and_synthesize</x:v>
      </x:c>
      <x:c r="V385" s="36" t="str">
        <x:v>[{"point_id":"P1","description":"把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x:v>
      </x:c>
      <x:c r="W385" s="36" t="str">
        <x:v>1.00</x:v>
      </x:c>
      <x:c r="X385" s="39" t="str">
        <x:v>我想要一套可回查的清洗结果：编码统一长度、文本标题统一写法、人员名单按原顺序唯一化，同时保留清洗前内容。</x:v>
      </x:c>
      <x:c r="Y385"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85" s="39" t="str">
        <x:v>不适用：当前题目不存在需要用户进一步选择的候选记忆。</x:v>
      </x:c>
      <x:c r="AA385" s="39" t="str">
        <x:v>不适用：当前题目没有指定需要排除的冲突或禁止记忆。</x:v>
      </x:c>
      <x:c r="AB385" s="39" t="str">
        <x:v>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85" s="39" t="str">
        <x:v>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85" s="39" t="str">
        <x:v>用户的完整请求是：“我想要一套可回查的清洗结果：编码统一长度、文本标题统一写法、人员名单按原顺序唯一化，同时保留清洗前内容。”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85" s="39" t="str">
        <x:v>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85" s="50" t="str">
        <x:v>not_pass</x:v>
      </x:c>
      <x:c r="AG385" s="50" t="n">
        <x:v>0</x:v>
      </x:c>
    </x:row>
    <x:row r="386" ht="243" customHeight="1">
      <x:c r="A386" s="35" t="str">
        <x:v>MULTI_MM05_HQ5</x:v>
      </x:c>
      <x:c r="B386" s="36" t="str">
        <x:v>SG_COMP_MM05</x:v>
      </x:c>
      <x:c r="C386" s="36" t="str">
        <x:v>MM05</x:v>
      </x:c>
      <x:c r="D386" s="36" t="str">
        <x:v>v2_MM05</x:v>
      </x:c>
      <x:c r="E386" s="36" t="str">
        <x:v>complementary_multi_memory</x:v>
      </x:c>
      <x:c r="F386" s="36" t="str">
        <x:v>human_constraint_emphasis</x:v>
      </x:c>
      <x:c r="G386" s="36" t="str">
        <x:v>challenge</x:v>
      </x:c>
      <x:c r="H386" s="36" t="str">
        <x:v>困难</x:v>
      </x:c>
      <x:c r="I386" s="36" t="str">
        <x:v>0bf05a7d-b28b-44d2-955a-50b41e24012a|a9f325aa-8c05-4e4f-8341-9e4358565f4f|abed40dc-063f-4598-8ba5-9fe749c0615d</x:v>
      </x:c>
      <x:c r="J386" s="36" t="str">
        <x:v>CTX_0bf05a7d-b28b-44d2-955a-50b41e24012a|CTX_a9f325aa-8c05-4e4f-8341-9e4358565f4f|CTX_abed40dc-063f-4598-8ba5-9fe749c0615d</x:v>
      </x:c>
      <x:c r="K386" s="36" t="str">
        <x:v>LTM_0bf05a7d-b28b-44d2-955a-50b41e24012a|MTM_a9f325aa-8c05-4e4f-8341-9e4358565f4f|STM_abed40dc-063f-4598-8ba5-9fe749c0615d</x:v>
      </x:c>
      <x:c r="L386" s="36" t="str"/>
      <x:c r="M386" s="36" t="str"/>
      <x:c r="N386" s="36" t="str">
        <x:v>工作流程</x:v>
      </x:c>
      <x:c r="O386" s="36" t="str">
        <x:v>长期|中期|短期</x:v>
      </x:c>
      <x:c r="P386" s="36" t="str">
        <x:v>["libreoffice_calc"]</x:v>
      </x:c>
      <x:c r="Q386" s="36" t="str">
        <x:v>[{"step_id":"S1","app":"libreoffice_calc","action_key":"pad_customer_ids_to_seven_digits","input_artifacts":["Customers_New_7digit_Id.xlsx"],"output_artifacts":["[\"Customers_New_7digit_Id.xlsx\",\"Customers_New_7digit_Id-Sheet1.csv\"]"],"depends_on":[]},{"step_id":"S2","app":"libreoffice_calc","action_key":"clean_movie_titles","input_artifacts":["Movie_title_garbage_clean.xlsx"],"output_artifacts":["Movie_title_garbage_clean.xlsx"],"depends_on":[]},{"step_id":"S3","app":"libreoffice_calc","action_key":"extract_unique_names_preserving_order","input_artifacts":["Names_Duplicate_Unique.xlsx"],"output_artifacts":["Names_Duplicate_Unique.xlsx"],"depends_on":[]}]</x:v>
      </x:c>
      <x:c r="R386" s="36" t="str">
        <x:v>[]</x:v>
      </x:c>
      <x:c r="S386" s="36" t="str">
        <x:v>pad_customer_ids_to_seven_digits|clean_movie_titles|extract_unique_names_preserving_order</x:v>
      </x:c>
      <x:c r="T386" s="36" t="str">
        <x:v>Customers_New_7digit_Id.xlsx|Movie_title_garbage_clean.xlsx|Names_Duplicate_Unique.xlsx</x:v>
      </x:c>
      <x:c r="U386" s="36" t="str">
        <x:v>retrieve_and_synthesize</x:v>
      </x:c>
      <x:c r="V386" s="36" t="str">
        <x:v>[{"point_id":"P1","description":"把 Customers_New_7digit_Id.xlsx 中 Old ID 列的编号复制到 New 7 Digit Id 列，并在前面补零，使每个编号恰好为 7 位。","weight":0.3,"evidence_memory_ids":["LTM_0bf05a7d-b28b-44d2-955a-50b41e24012a"]},{"point_id":"P2","description":"把 Movie_title_garbage_clean.xlsx 中 Garbage Movie Titles 的标题复制到 Clean Movie Titles，去掉多余空格，并将每个单词首字母大写、其余字母小写。","weight":0.3,"evidence_memory_ids":["MTM_a9f325aa-8c05-4e4f-8341-9e4358565f4f"]},{"point_id":"P3","description":"检查 Names_Duplicate_Unique.xlsx 的 Names with duplicates 列，把去重后的姓名填入 Unique Names 列，并保留每个姓名第一次出现的原始顺序。","weight":0.3,"evidence_memory_ids":["STM_abed40dc-063f-4598-8ba5-9fe749c0615d"]},{"point_id":"P4","description":"各文件和各步骤的规则不串用，不增加无来源操作","weight":0.1,"evidence_memory_ids":["LTM_0bf05a7d-b28b-44d2-955a-50b41e24012a","MTM_a9f325aa-8c05-4e4f-8341-9e4358565f4f","STM_abed40dc-063f-4598-8ba5-9fe749c0615d"]}]</x:v>
      </x:c>
      <x:c r="W386" s="36" t="str">
        <x:v>1.00</x:v>
      </x:c>
      <x:c r="X386" s="39" t="str">
        <x:v>注意三个边界：New 7 Digit Id 必须正好 7 位；Clean Movie Titles 要去多余空格并逐词首字母大写；Unique Names 去重后保持首次出现顺序，源列都不能动。</x:v>
      </x:c>
      <x:c r="Y386"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Z386" s="39" t="str">
        <x:v>不适用：当前题目不存在需要用户进一步选择的候选记忆。</x:v>
      </x:c>
      <x:c r="AA386" s="39" t="str">
        <x:v>不适用：当前题目没有指定需要排除的冲突或禁止记忆。</x:v>
      </x:c>
      <x:c r="AB386" s="39" t="str">
        <x:v>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C386" s="39" t="str">
        <x:v>第1项实际操作：把 Customers_New_7digit_Id.xlsx 中 Old ID 列的编号复制到 New 7 Digit Id 列，并在前面补零，使每个编号恰好为 7 位。执行时必须满足：保留 Old ID；新编号必须为 7 位；不修改无关区域。 第2项实际操作：把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第3项实际操作：检查 Names_Duplicate_Unique.xlsx 的 Names with duplicates 列，把去重后的姓名填入 Unique Names 列，并保留每个姓名第一次出现的原始顺序。执行时必须满足：去除重复姓名；保留首次出现顺序；不修改原始重复列和无关区域。</x:v>
      </x:c>
      <x:c r="AD386" s="39" t="str">
        <x:v>用户的完整请求是：“注意三个边界：New 7 Digit Id 必须正好 7 位；Clean Movie Titles 要去多余空格并逐词首字母大写；Unique Names 去重后保持首次出现顺序，源列都不能动。” 第1个当前上下文：Customers_New_7digit_Id.xlsx 已在 LibreOffice Calc 中打开。 第2个当前上下文：Movie_title_garbage_clean.xlsx 已在 LibreOffice Calc 中打开。 第3个当前上下文：Names_Duplicate_Unique.xlsx 已在 LibreOffice Calc 中打开。 当前请求要求在同一轮工作中得到多个结果。能够支持这些结果的完整必需记忆如下：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这些记忆之间是互补关系：每条记忆只支持请求中的一部分操作、对象或输出，单独使用任何一条都不能覆盖用户提出的全部工作。例如，一条记忆可能负责计算、整理或清洗数据，另一条记忆负责制作图表、生成汇总或完成另一份文件；它们不是互相替代的方案，也不存在只选其中最相似一条即可完成任务的条件。因此系统必须同时检索全部必需记忆，把每条记忆支持的操作分别保留下来，并按照各自的文件、工作表、范围、格式和输出约束形成联合结论。不同记忆的规则不能跨文件错误套用，也不能因为完成了其中一个结果就省略其他结果。最终应给出的完整结论是：“应同时完成以下互补操作：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列，并保留每个姓名第一次出现的原始顺序。每项操作必须分别遵守其对应文件、工作表、范围、格式和输出约束，不能用其中一项替代另一项，也不能把不同文件的规则混用。”</x:v>
      </x:c>
      <x:c r="AE386" s="39" t="str">
        <x:v>本题总分为 1.00 分，各得分点独立累计，允许语义等价表达，不要求模型输出记忆 ID，也不要求逐字复述记忆原文。
第1个得分点（0.30分）：把 Customers_New_7digit_Id.xlsx 中 Old ID 列的编号复制到 New 7 Digit Id 列，并在前面补零，使每个编号恰好为 7 位。该得分点所依据的完整证据为：
第1条记忆（长期/工作流程）：把 Customers_New_7digit_Id.xlsx 中 Old ID 列的编号复制到 New 7 Digit Id 列，并在前面补零，使每个编号恰好为 7 位。关键约束：保留 Old ID；新编号必须为 7 位；不修改无关区域。
第2个得分点（0.30分）：把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第3个得分点（0.30分）：检查 Names_Duplicate_Unique.xlsx 的 Names with duplicates 列，把去重后的姓名填入 Unique Names 列，并保留每个姓名第一次出现的原始顺序。该得分点所依据的完整证据为：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第4个得分点（0.10分）：各文件和各步骤的规则不串用，不增加无来源操作。该得分点所依据的完整证据为：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386" s="50" t="str">
        <x:v>not_pass</x:v>
      </x:c>
      <x:c r="AG386" s="50" t="n">
        <x:v>0</x:v>
      </x:c>
    </x:row>
    <x:row r="387" ht="175.5" customHeight="1">
      <x:c r="A387" s="35" t="str">
        <x:v>V3_CF02_Q01</x:v>
      </x:c>
      <x:c r="B387" s="36" t="str">
        <x:v>SG_CONFLICT_CF02</x:v>
      </x:c>
      <x:c r="C387" s="36" t="str">
        <x:v>CF02</x:v>
      </x:c>
      <x:c r="D387" s="36" t="str">
        <x:v>NetIncome 明细与汇总硬负例</x:v>
      </x:c>
      <x:c r="E387" s="36" t="str">
        <x:v>conflict_resolution</x:v>
      </x:c>
      <x:c r="F387" s="36" t="str">
        <x:v>human_context_explicit</x:v>
      </x:c>
      <x:c r="G387" s="36" t="str">
        <x:v>challenge</x:v>
      </x:c>
      <x:c r="H387" s="36" t="str">
        <x:v>困难</x:v>
      </x:c>
      <x:c r="I387" s="36" t="str">
        <x:v>1273e544-688f-496b-8d89-3e0f40aa0606|42e0a640-4f19-4b28-973d-729602b5a4a7</x:v>
      </x:c>
      <x:c r="J387" s="36" t="str">
        <x:v>CTX_1273e544-688f-496b-8d89-3e0f40aa0606</x:v>
      </x:c>
      <x:c r="K387" s="36" t="str">
        <x:v>LTM_1273e544-688f-496b-8d89-3e0f40aa0606</x:v>
      </x:c>
      <x:c r="L387" s="36" t="str"/>
      <x:c r="M387" s="36" t="str">
        <x:v>LTM_42e0a640-4f19-4b28-973d-729602b5a4a7</x:v>
      </x:c>
      <x:c r="N387" s="36" t="str">
        <x:v>工作流程</x:v>
      </x:c>
      <x:c r="O387" s="36" t="str">
        <x:v>长期</x:v>
      </x:c>
      <x:c r="P387" s="36" t="str">
        <x:v>["libreoffice_calc"]</x:v>
      </x:c>
      <x:c r="Q387" s="36" t="str">
        <x:v>[{"step_id":"S1","app":"libreoffice_calc","action_key":"copy_revenue_column_to_sheet2","input_artifacts":["NetIncome.xlsx"],"output_artifacts":["NetIncome.xlsx"],"depends_on":[]}]</x:v>
      </x:c>
      <x:c r="R387" s="36" t="str">
        <x:v>[]</x:v>
      </x:c>
      <x:c r="S387" s="36" t="str">
        <x:v>copy_revenue_column_to_sheet2</x:v>
      </x:c>
      <x:c r="T387" s="36" t="str">
        <x:v>NetIncome.xlsx</x:v>
      </x:c>
      <x:c r="U387" s="36" t="str">
        <x:v>retrieve_and_execute</x:v>
      </x:c>
      <x:c r="V387" s="36" t="str">
        <x:v>[{"point_id":"P1","description":"把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x:v>
      </x:c>
      <x:c r="W387" s="36" t="str">
        <x:v>1.00</x:v>
      </x:c>
      <x:c r="X387" s="39" t="str">
        <x:v>我正在处理这份表，按之前确认的这一版来：把 NetIncome.xlsx 中 Revenue 列连同表头完整复制到新建的 Sheet2。</x:v>
      </x:c>
      <x:c r="Y387" s="39" t="str">
        <x:v>第1条记忆（长期/工作流程）：把 NetIncome.xlsx 中 Revenue 列连同表头完整复制到新建的 Sheet2。关键约束：必须包含 Revenue 表头；目标为新建 Sheet2；不进行求和或复制其他列。</x:v>
      </x:c>
      <x:c r="Z387" s="39" t="str">
        <x:v>不适用：当前题目不存在需要用户进一步选择的候选记忆。</x:v>
      </x:c>
      <x:c r="AA387"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387" s="39" t="str">
        <x:v>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C387" s="39" t="str">
        <x:v>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x:v>
      </x:c>
      <x:c r="AD387" s="39" t="str">
        <x:v>用户的完整请求是：“我正在处理这份表，按之前确认的这一版来：把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E387" s="39" t="str">
        <x:v>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87" s="50" t="str">
        <x:v>not_pass</x:v>
      </x:c>
      <x:c r="AG387" s="50" t="n">
        <x:v>0</x:v>
      </x:c>
    </x:row>
    <x:row r="388" ht="175.5" customHeight="1">
      <x:c r="A388" s="35" t="str">
        <x:v>V3_CF02_Q02</x:v>
      </x:c>
      <x:c r="B388" s="36" t="str">
        <x:v>SG_CONFLICT_CF02</x:v>
      </x:c>
      <x:c r="C388" s="36" t="str">
        <x:v>CF02</x:v>
      </x:c>
      <x:c r="D388" s="36" t="str">
        <x:v>NetIncome 明细与汇总硬负例</x:v>
      </x:c>
      <x:c r="E388" s="36" t="str">
        <x:v>conflict_resolution</x:v>
      </x:c>
      <x:c r="F388" s="36" t="str">
        <x:v>human_goal_oriented</x:v>
      </x:c>
      <x:c r="G388" s="36" t="str">
        <x:v>challenge</x:v>
      </x:c>
      <x:c r="H388" s="36" t="str">
        <x:v>困难</x:v>
      </x:c>
      <x:c r="I388" s="36" t="str">
        <x:v>1273e544-688f-496b-8d89-3e0f40aa0606|42e0a640-4f19-4b28-973d-729602b5a4a7</x:v>
      </x:c>
      <x:c r="J388" s="36" t="str">
        <x:v>CTX_1273e544-688f-496b-8d89-3e0f40aa0606</x:v>
      </x:c>
      <x:c r="K388" s="36" t="str">
        <x:v>LTM_1273e544-688f-496b-8d89-3e0f40aa0606</x:v>
      </x:c>
      <x:c r="L388" s="36" t="str"/>
      <x:c r="M388" s="36" t="str">
        <x:v>LTM_42e0a640-4f19-4b28-973d-729602b5a4a7</x:v>
      </x:c>
      <x:c r="N388" s="36" t="str">
        <x:v>工作流程</x:v>
      </x:c>
      <x:c r="O388" s="36" t="str">
        <x:v>长期</x:v>
      </x:c>
      <x:c r="P388" s="36" t="str">
        <x:v>["libreoffice_calc"]</x:v>
      </x:c>
      <x:c r="Q388" s="36" t="str">
        <x:v>[{"step_id":"S1","app":"libreoffice_calc","action_key":"copy_revenue_column_to_sheet2","input_artifacts":["NetIncome.xlsx"],"output_artifacts":["NetIncome.xlsx"],"depends_on":[]}]</x:v>
      </x:c>
      <x:c r="R388" s="36" t="str">
        <x:v>[]</x:v>
      </x:c>
      <x:c r="S388" s="36" t="str">
        <x:v>copy_revenue_column_to_sheet2</x:v>
      </x:c>
      <x:c r="T388" s="36" t="str">
        <x:v>NetIncome.xlsx</x:v>
      </x:c>
      <x:c r="U388" s="36" t="str">
        <x:v>retrieve_and_execute</x:v>
      </x:c>
      <x:c r="V388" s="36" t="str">
        <x:v>[{"point_id":"P1","description":"把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x:v>
      </x:c>
      <x:c r="W388" s="36" t="str">
        <x:v>1.00</x:v>
      </x:c>
      <x:c r="X388" s="39" t="str">
        <x:v>这次只做下面这个结果，别套用相似任务的做法：把 NetIncome.xlsx 中 Revenue 列连同表头完整复制到新建的 Sheet2。</x:v>
      </x:c>
      <x:c r="Y388" s="39" t="str">
        <x:v>第1条记忆（长期/工作流程）：把 NetIncome.xlsx 中 Revenue 列连同表头完整复制到新建的 Sheet2。关键约束：必须包含 Revenue 表头；目标为新建 Sheet2；不进行求和或复制其他列。</x:v>
      </x:c>
      <x:c r="Z388" s="39" t="str">
        <x:v>不适用：当前题目不存在需要用户进一步选择的候选记忆。</x:v>
      </x:c>
      <x:c r="AA388"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388" s="39" t="str">
        <x:v>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C388" s="39" t="str">
        <x:v>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x:v>
      </x:c>
      <x:c r="AD388" s="39" t="str">
        <x:v>用户的完整请求是：“这次只做下面这个结果，别套用相似任务的做法：把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E388" s="39" t="str">
        <x:v>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88" s="50" t="str">
        <x:v>not_pass</x:v>
      </x:c>
      <x:c r="AG388" s="50" t="n">
        <x:v>0</x:v>
      </x:c>
    </x:row>
    <x:row r="389" ht="175.5" customHeight="1">
      <x:c r="A389" s="35" t="str">
        <x:v>V3_CF02_Q03</x:v>
      </x:c>
      <x:c r="B389" s="36" t="str">
        <x:v>SG_CONFLICT_CF02</x:v>
      </x:c>
      <x:c r="C389" s="36" t="str">
        <x:v>CF02</x:v>
      </x:c>
      <x:c r="D389" s="36" t="str">
        <x:v>NetIncome 明细与汇总硬负例</x:v>
      </x:c>
      <x:c r="E389" s="36" t="str">
        <x:v>conflict_resolution</x:v>
      </x:c>
      <x:c r="F389" s="36" t="str">
        <x:v>contextual_ellipsis</x:v>
      </x:c>
      <x:c r="G389" s="36" t="str">
        <x:v>challenge</x:v>
      </x:c>
      <x:c r="H389" s="36" t="str">
        <x:v>困难</x:v>
      </x:c>
      <x:c r="I389" s="36" t="str">
        <x:v>1273e544-688f-496b-8d89-3e0f40aa0606|42e0a640-4f19-4b28-973d-729602b5a4a7</x:v>
      </x:c>
      <x:c r="J389" s="36" t="str">
        <x:v>CTX_1273e544-688f-496b-8d89-3e0f40aa0606</x:v>
      </x:c>
      <x:c r="K389" s="36" t="str">
        <x:v>LTM_1273e544-688f-496b-8d89-3e0f40aa0606</x:v>
      </x:c>
      <x:c r="L389" s="36" t="str"/>
      <x:c r="M389" s="36" t="str">
        <x:v>LTM_42e0a640-4f19-4b28-973d-729602b5a4a7</x:v>
      </x:c>
      <x:c r="N389" s="36" t="str">
        <x:v>工作流程</x:v>
      </x:c>
      <x:c r="O389" s="36" t="str">
        <x:v>长期</x:v>
      </x:c>
      <x:c r="P389" s="36" t="str">
        <x:v>["libreoffice_calc"]</x:v>
      </x:c>
      <x:c r="Q389" s="36" t="str">
        <x:v>[{"step_id":"S1","app":"libreoffice_calc","action_key":"copy_revenue_column_to_sheet2","input_artifacts":["NetIncome.xlsx"],"output_artifacts":["NetIncome.xlsx"],"depends_on":[]}]</x:v>
      </x:c>
      <x:c r="R389" s="36" t="str">
        <x:v>[]</x:v>
      </x:c>
      <x:c r="S389" s="36" t="str">
        <x:v>copy_revenue_column_to_sheet2</x:v>
      </x:c>
      <x:c r="T389" s="36" t="str">
        <x:v>NetIncome.xlsx</x:v>
      </x:c>
      <x:c r="U389" s="36" t="str">
        <x:v>retrieve_and_execute</x:v>
      </x:c>
      <x:c r="V389" s="36" t="str">
        <x:v>[{"point_id":"P1","description":"把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x:v>
      </x:c>
      <x:c r="W389" s="36" t="str">
        <x:v>1.00</x:v>
      </x:c>
      <x:c r="X389" s="39" t="str">
        <x:v>文件已经打开了，我要的是这套处理：把 NetIncome.xlsx 中 Revenue 列连同表头完整复制到新建的 Sheet2。</x:v>
      </x:c>
      <x:c r="Y389" s="39" t="str">
        <x:v>第1条记忆（长期/工作流程）：把 NetIncome.xlsx 中 Revenue 列连同表头完整复制到新建的 Sheet2。关键约束：必须包含 Revenue 表头；目标为新建 Sheet2；不进行求和或复制其他列。</x:v>
      </x:c>
      <x:c r="Z389" s="39" t="str">
        <x:v>不适用：当前题目不存在需要用户进一步选择的候选记忆。</x:v>
      </x:c>
      <x:c r="AA389"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389" s="39" t="str">
        <x:v>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C389" s="39" t="str">
        <x:v>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x:v>
      </x:c>
      <x:c r="AD389" s="39" t="str">
        <x:v>用户的完整请求是：“文件已经打开了，我要的是这套处理：把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E389" s="39" t="str">
        <x:v>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89" s="50" t="str">
        <x:v>not_pass</x:v>
      </x:c>
      <x:c r="AG389" s="50" t="n">
        <x:v>0</x:v>
      </x:c>
    </x:row>
    <x:row r="390" ht="175.5" customHeight="1">
      <x:c r="A390" s="35" t="str">
        <x:v>V3_CF02_Q04</x:v>
      </x:c>
      <x:c r="B390" s="36" t="str">
        <x:v>SG_CONFLICT_CF02</x:v>
      </x:c>
      <x:c r="C390" s="36" t="str">
        <x:v>CF02</x:v>
      </x:c>
      <x:c r="D390" s="36" t="str">
        <x:v>NetIncome 明细与汇总硬负例</x:v>
      </x:c>
      <x:c r="E390" s="36" t="str">
        <x:v>conflict_resolution</x:v>
      </x:c>
      <x:c r="F390" s="36" t="str">
        <x:v>low_overlap_paraphrase</x:v>
      </x:c>
      <x:c r="G390" s="36" t="str">
        <x:v>challenge</x:v>
      </x:c>
      <x:c r="H390" s="36" t="str">
        <x:v>困难</x:v>
      </x:c>
      <x:c r="I390" s="36" t="str">
        <x:v>1273e544-688f-496b-8d89-3e0f40aa0606|42e0a640-4f19-4b28-973d-729602b5a4a7</x:v>
      </x:c>
      <x:c r="J390" s="36" t="str">
        <x:v>CTX_1273e544-688f-496b-8d89-3e0f40aa0606</x:v>
      </x:c>
      <x:c r="K390" s="36" t="str">
        <x:v>LTM_1273e544-688f-496b-8d89-3e0f40aa0606</x:v>
      </x:c>
      <x:c r="L390" s="36" t="str"/>
      <x:c r="M390" s="36" t="str">
        <x:v>LTM_42e0a640-4f19-4b28-973d-729602b5a4a7</x:v>
      </x:c>
      <x:c r="N390" s="36" t="str">
        <x:v>工作流程</x:v>
      </x:c>
      <x:c r="O390" s="36" t="str">
        <x:v>长期</x:v>
      </x:c>
      <x:c r="P390" s="36" t="str">
        <x:v>["libreoffice_calc"]</x:v>
      </x:c>
      <x:c r="Q390" s="36" t="str">
        <x:v>[{"step_id":"S1","app":"libreoffice_calc","action_key":"copy_revenue_column_to_sheet2","input_artifacts":["NetIncome.xlsx"],"output_artifacts":["NetIncome.xlsx"],"depends_on":[]}]</x:v>
      </x:c>
      <x:c r="R390" s="36" t="str">
        <x:v>[]</x:v>
      </x:c>
      <x:c r="S390" s="36" t="str">
        <x:v>copy_revenue_column_to_sheet2</x:v>
      </x:c>
      <x:c r="T390" s="36" t="str">
        <x:v>NetIncome.xlsx</x:v>
      </x:c>
      <x:c r="U390" s="36" t="str">
        <x:v>retrieve_and_execute</x:v>
      </x:c>
      <x:c r="V390" s="36" t="str">
        <x:v>[{"point_id":"P1","description":"把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x:v>
      </x:c>
      <x:c r="W390" s="36" t="str">
        <x:v>1.00</x:v>
      </x:c>
      <x:c r="X390" s="39" t="str">
        <x:v>前面的相似方案先不要用，当前目标是：把 NetIncome.xlsx 中 Revenue 列连同表头完整复制到新建的 Sheet2。</x:v>
      </x:c>
      <x:c r="Y390" s="39" t="str">
        <x:v>第1条记忆（长期/工作流程）：把 NetIncome.xlsx 中 Revenue 列连同表头完整复制到新建的 Sheet2。关键约束：必须包含 Revenue 表头；目标为新建 Sheet2；不进行求和或复制其他列。</x:v>
      </x:c>
      <x:c r="Z390" s="39" t="str">
        <x:v>不适用：当前题目不存在需要用户进一步选择的候选记忆。</x:v>
      </x:c>
      <x:c r="AA390"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390" s="39" t="str">
        <x:v>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C390" s="39" t="str">
        <x:v>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x:v>
      </x:c>
      <x:c r="AD390" s="39" t="str">
        <x:v>用户的完整请求是：“前面的相似方案先不要用，当前目标是：把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E390" s="39" t="str">
        <x:v>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90" s="50" t="str">
        <x:v>not_pass</x:v>
      </x:c>
      <x:c r="AG390" s="50" t="n">
        <x:v>0</x:v>
      </x:c>
    </x:row>
    <x:row r="391" ht="175.5" customHeight="1">
      <x:c r="A391" s="35" t="str">
        <x:v>V3_CF02_Q05</x:v>
      </x:c>
      <x:c r="B391" s="36" t="str">
        <x:v>SG_CONFLICT_CF02</x:v>
      </x:c>
      <x:c r="C391" s="36" t="str">
        <x:v>CF02</x:v>
      </x:c>
      <x:c r="D391" s="36" t="str">
        <x:v>NetIncome 明细与汇总硬负例</x:v>
      </x:c>
      <x:c r="E391" s="36" t="str">
        <x:v>conflict_resolution</x:v>
      </x:c>
      <x:c r="F391" s="36" t="str">
        <x:v>human_constraint_emphasis</x:v>
      </x:c>
      <x:c r="G391" s="36" t="str">
        <x:v>challenge</x:v>
      </x:c>
      <x:c r="H391" s="36" t="str">
        <x:v>困难</x:v>
      </x:c>
      <x:c r="I391" s="36" t="str">
        <x:v>1273e544-688f-496b-8d89-3e0f40aa0606|42e0a640-4f19-4b28-973d-729602b5a4a7</x:v>
      </x:c>
      <x:c r="J391" s="36" t="str">
        <x:v>CTX_1273e544-688f-496b-8d89-3e0f40aa0606</x:v>
      </x:c>
      <x:c r="K391" s="36" t="str">
        <x:v>LTM_1273e544-688f-496b-8d89-3e0f40aa0606</x:v>
      </x:c>
      <x:c r="L391" s="36" t="str"/>
      <x:c r="M391" s="36" t="str">
        <x:v>LTM_42e0a640-4f19-4b28-973d-729602b5a4a7</x:v>
      </x:c>
      <x:c r="N391" s="36" t="str">
        <x:v>工作流程</x:v>
      </x:c>
      <x:c r="O391" s="36" t="str">
        <x:v>长期</x:v>
      </x:c>
      <x:c r="P391" s="36" t="str">
        <x:v>["libreoffice_calc"]</x:v>
      </x:c>
      <x:c r="Q391" s="36" t="str">
        <x:v>[{"step_id":"S1","app":"libreoffice_calc","action_key":"copy_revenue_column_to_sheet2","input_artifacts":["NetIncome.xlsx"],"output_artifacts":["NetIncome.xlsx"],"depends_on":[]}]</x:v>
      </x:c>
      <x:c r="R391" s="36" t="str">
        <x:v>[]</x:v>
      </x:c>
      <x:c r="S391" s="36" t="str">
        <x:v>copy_revenue_column_to_sheet2</x:v>
      </x:c>
      <x:c r="T391" s="36" t="str">
        <x:v>NetIncome.xlsx</x:v>
      </x:c>
      <x:c r="U391" s="36" t="str">
        <x:v>retrieve_and_execute</x:v>
      </x:c>
      <x:c r="V391" s="36" t="str">
        <x:v>[{"point_id":"P1","description":"把 NetIncome.xlsx 中 Revenue 列连同表头完整复制到新建的 Sheet2。","weight":0.8,"evidence_memory_ids":["LTM_1273e544-688f-496b-8d89-3e0f40aa0606"]},{"point_id":"P2","description":"不采用禁止记忆中的冲突操作，且不让错误方案替代必需结论","weight":0.2,"evidence_memory_ids":["LTM_1273e544-688f-496b-8d89-3e0f40aa0606","LTM_42e0a640-4f19-4b28-973d-729602b5a4a7"]}]</x:v>
      </x:c>
      <x:c r="W391" s="36" t="str">
        <x:v>1.00</x:v>
      </x:c>
      <x:c r="X391" s="39" t="str">
        <x:v>为了避免选错历史记录，我把要求再说一遍：把 NetIncome.xlsx 中 Revenue 列连同表头完整复制到新建的 Sheet2。</x:v>
      </x:c>
      <x:c r="Y391" s="39" t="str">
        <x:v>第1条记忆（长期/工作流程）：把 NetIncome.xlsx 中 Revenue 列连同表头完整复制到新建的 Sheet2。关键约束：必须包含 Revenue 表头；目标为新建 Sheet2；不进行求和或复制其他列。</x:v>
      </x:c>
      <x:c r="Z391" s="39" t="str">
        <x:v>不适用：当前题目不存在需要用户进一步选择的候选记忆。</x:v>
      </x:c>
      <x:c r="AA391" s="39" t="str">
        <x:v>第1条记忆（长期/知识）：在 NetIncome.xlsx 新建 Sheet2，分别计算 Revenue 列和 Total Expenses 列的总和，并放在 Total Revenue 与 Total Expenses 两列下。关键约束：目标为 Sheet2；分别汇总收入和总费用；列名使用 Total Revenue 和 Total Expenses。</x:v>
      </x:c>
      <x:c r="AB391" s="39" t="str">
        <x:v>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C391" s="39" t="str">
        <x:v>第1项实际操作：把 NetIncome.xlsx 中 Revenue 列连同表头完整复制到新建的 Sheet2。执行时必须满足：必须包含 Revenue 表头；目标为新建 Sheet2；不进行求和或复制其他列。 第1项禁止操作：在 NetIncome.xlsx 新建 Sheet2，分别计算 Revenue 列和 Total Expenses 列的总和，并放在 Total Revenue 与 Total Expenses 两列下。该操作不得替代或混入当前执行结果。</x:v>
      </x:c>
      <x:c r="AD391" s="39" t="str">
        <x:v>用户的完整请求是：“为了避免选错历史记录，我把要求再说一遍：把 NetIncome.xlsx 中 Revenue 列连同表头完整复制到新建的 Sheet2。” 第1个当前上下文：NetIncome.xlsx 已在 LibreOffice Calc 中打开。 与当前请求一致、应当调用的完整记忆如下：
第1条记忆（长期/工作流程）：把 NetIncome.xlsx 中 Revenue 列连同表头完整复制到新建的 Sheet2。关键约束：必须包含 Revenue 表头；目标为新建 Sheet2；不进行求和或复制其他列。
这些记忆描述的目标文件、操作对象、处理方式和输出结果与 Query 中明确表达的当前要求一致。与此同时，记忆库中还存在以下容易造成误检的完整禁止记忆：
第1条记忆（长期/知识）：在 NetIncome.xlsx 新建 Sheet2，分别计算 Revenue 列和 Total Expenses 列的总和，并放在 Total Revenue 与 Total Expenses 两列下。关键约束：目标为 Sheet2；分别汇总收入和总费用；列名使用 Total Revenue 和 Total Expenses。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NetIncome.xlsx 中 Revenue 列连同表头完整复制到新建的 Sheet2。同时明确不得采用以下相似但不符合当前要求的方案：在 NetIncome.xlsx 新建 Sheet2，分别计算 Revenue 列和 Total Expenses 列的总和，并放在 Total Revenue 与 Total Expenses 两列下。”</x:v>
      </x:c>
      <x:c r="AE391" s="39" t="str">
        <x:v>本题总分为 1.00 分，各得分点独立累计，允许语义等价表达，不要求模型输出记忆 ID，也不要求逐字复述记忆原文。
第1个得分点（0.80分）：把 NetIncome.xlsx 中 Revenue 列连同表头完整复制到新建的 Sheet2。该得分点所依据的完整证据为：
第1条记忆（长期/工作流程）：把 NetIncome.xlsx 中 Revenue 列连同表头完整复制到新建的 Sheet2。关键约束：必须包含 Revenue 表头；目标为新建 Sheet2；不进行求和或复制其他列。
第2个得分点（0.20分）：不采用禁止记忆中的冲突操作，且不让错误方案替代必需结论。该得分点所依据的完整证据为：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391" s="50" t="str">
        <x:v>not_pass</x:v>
      </x:c>
      <x:c r="AG391" s="50" t="n">
        <x:v>0</x:v>
      </x:c>
    </x:row>
    <x:row r="392" ht="175.5" customHeight="1">
      <x:c r="A392" s="35" t="str">
        <x:v>V3_CF03_Q01</x:v>
      </x:c>
      <x:c r="B392" s="36" t="str">
        <x:v>SG_CONFLICT_CF03</x:v>
      </x:c>
      <x:c r="C392" s="36" t="str">
        <x:v>CF03</x:v>
      </x:c>
      <x:c r="D392" s="36" t="str">
        <x:v>WeeklySales 图表与利润硬负例</x:v>
      </x:c>
      <x:c r="E392" s="36" t="str">
        <x:v>conflict_resolution</x:v>
      </x:c>
      <x:c r="F392" s="36" t="str">
        <x:v>human_context_explicit</x:v>
      </x:c>
      <x:c r="G392" s="36" t="str">
        <x:v>challenge</x:v>
      </x:c>
      <x:c r="H392" s="36" t="str">
        <x:v>困难</x:v>
      </x:c>
      <x:c r="I392" s="36" t="str">
        <x:v>12382c62-0cd1-4bf2-bdc8-1d20bf9b2371|1e8df695-bd1b-45b3-b557-e7d599cf7597</x:v>
      </x:c>
      <x:c r="J392" s="36" t="str">
        <x:v>CTX_12382c62-0cd1-4bf2-bdc8-1d20bf9b2371</x:v>
      </x:c>
      <x:c r="K392" s="36" t="str">
        <x:v>MTM_12382c62-0cd1-4bf2-bdc8-1d20bf9b2371</x:v>
      </x:c>
      <x:c r="L392" s="36" t="str"/>
      <x:c r="M392" s="36" t="str">
        <x:v>MTM_1e8df695-bd1b-45b3-b557-e7d599cf7597</x:v>
      </x:c>
      <x:c r="N392" s="36" t="str">
        <x:v>可复用模板</x:v>
      </x:c>
      <x:c r="O392" s="36" t="str">
        <x:v>中期</x:v>
      </x:c>
      <x:c r="P392" s="36" t="str">
        <x:v>["libreoffice_calc"]</x:v>
      </x:c>
      <x:c r="Q392" s="36" t="str">
        <x:v>[{"step_id":"S1","app":"libreoffice_calc","action_key":"create_sales_cogs_clustered_column_chart","input_artifacts":["WeeklySales.xlsx"],"output_artifacts":["WeeklySales.xlsx"],"depends_on":[]}]</x:v>
      </x:c>
      <x:c r="R392" s="36" t="str">
        <x:v>[]</x:v>
      </x:c>
      <x:c r="S392" s="36" t="str">
        <x:v>create_sales_cogs_clustered_column_chart</x:v>
      </x:c>
      <x:c r="T392" s="36" t="str">
        <x:v>WeeklySales.xlsx</x:v>
      </x:c>
      <x:c r="U392" s="36" t="str">
        <x:v>retrieve_and_execute</x:v>
      </x:c>
      <x:c r="V392" s="36" t="str">
        <x:v>[{"point_id":"P1","description":"在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x:v>
      </x:c>
      <x:c r="W392" s="36" t="str">
        <x:v>1.00</x:v>
      </x:c>
      <x:c r="X392" s="39" t="str">
        <x:v>我正在处理这份表，按之前确认的这一版来：在 WeeklySales.xlsx 新建 Sheet2，为每周的 Sales 和 COGS 数据创建簇状柱形图，图表标题设为 Sales &amp; COGS。</x:v>
      </x:c>
      <x:c r="Y392" s="39" t="str">
        <x:v>第1条记忆（中期/可复用模板）：在 WeeklySales.xlsx 新建 Sheet2，为每周的 Sales 和 COGS 数据创建簇状柱形图，图表标题设为 Sales &amp; COGS。关键约束：图表放在 Sheet2；图表类型为簇状柱形图；标题必须为 Sales &amp; COGS。</x:v>
      </x:c>
      <x:c r="Z392" s="39" t="str">
        <x:v>不适用：当前题目不存在需要用户进一步选择的候选记忆。</x:v>
      </x:c>
      <x:c r="AA392" s="39" t="str">
        <x:v>第1条记忆（中期/知识）：在 WeeklySales.xlsx 的 COGS 列右侧新增 Profit 列，并按每周 Sales 减去 COGS 计算利润。关键约束：Profit 紧邻 COGS；逐周计算 Sales-COGS；不创建图表。</x:v>
      </x:c>
      <x:c r="AB392" s="39" t="str">
        <x:v>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C392" s="39" t="str">
        <x:v>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x:v>
      </x:c>
      <x:c r="AD392" s="39" t="str">
        <x:v>用户的完整请求是：“我正在处理这份表，按之前确认的这一版来：在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E392" s="39" t="str">
        <x:v>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2" s="50" t="str">
        <x:v>not_pass</x:v>
      </x:c>
      <x:c r="AG392" s="50" t="n">
        <x:v>0</x:v>
      </x:c>
    </x:row>
    <x:row r="393" ht="175.5" customHeight="1">
      <x:c r="A393" s="35" t="str">
        <x:v>V3_CF03_Q02</x:v>
      </x:c>
      <x:c r="B393" s="36" t="str">
        <x:v>SG_CONFLICT_CF03</x:v>
      </x:c>
      <x:c r="C393" s="36" t="str">
        <x:v>CF03</x:v>
      </x:c>
      <x:c r="D393" s="36" t="str">
        <x:v>WeeklySales 图表与利润硬负例</x:v>
      </x:c>
      <x:c r="E393" s="36" t="str">
        <x:v>conflict_resolution</x:v>
      </x:c>
      <x:c r="F393" s="36" t="str">
        <x:v>human_goal_oriented</x:v>
      </x:c>
      <x:c r="G393" s="36" t="str">
        <x:v>challenge</x:v>
      </x:c>
      <x:c r="H393" s="36" t="str">
        <x:v>困难</x:v>
      </x:c>
      <x:c r="I393" s="36" t="str">
        <x:v>12382c62-0cd1-4bf2-bdc8-1d20bf9b2371|1e8df695-bd1b-45b3-b557-e7d599cf7597</x:v>
      </x:c>
      <x:c r="J393" s="36" t="str">
        <x:v>CTX_12382c62-0cd1-4bf2-bdc8-1d20bf9b2371</x:v>
      </x:c>
      <x:c r="K393" s="36" t="str">
        <x:v>MTM_12382c62-0cd1-4bf2-bdc8-1d20bf9b2371</x:v>
      </x:c>
      <x:c r="L393" s="36" t="str"/>
      <x:c r="M393" s="36" t="str">
        <x:v>MTM_1e8df695-bd1b-45b3-b557-e7d599cf7597</x:v>
      </x:c>
      <x:c r="N393" s="36" t="str">
        <x:v>可复用模板</x:v>
      </x:c>
      <x:c r="O393" s="36" t="str">
        <x:v>中期</x:v>
      </x:c>
      <x:c r="P393" s="36" t="str">
        <x:v>["libreoffice_calc"]</x:v>
      </x:c>
      <x:c r="Q393" s="36" t="str">
        <x:v>[{"step_id":"S1","app":"libreoffice_calc","action_key":"create_sales_cogs_clustered_column_chart","input_artifacts":["WeeklySales.xlsx"],"output_artifacts":["WeeklySales.xlsx"],"depends_on":[]}]</x:v>
      </x:c>
      <x:c r="R393" s="36" t="str">
        <x:v>[]</x:v>
      </x:c>
      <x:c r="S393" s="36" t="str">
        <x:v>create_sales_cogs_clustered_column_chart</x:v>
      </x:c>
      <x:c r="T393" s="36" t="str">
        <x:v>WeeklySales.xlsx</x:v>
      </x:c>
      <x:c r="U393" s="36" t="str">
        <x:v>retrieve_and_execute</x:v>
      </x:c>
      <x:c r="V393" s="36" t="str">
        <x:v>[{"point_id":"P1","description":"在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x:v>
      </x:c>
      <x:c r="W393" s="36" t="str">
        <x:v>1.00</x:v>
      </x:c>
      <x:c r="X393" s="39" t="str">
        <x:v>这次只做下面这个结果，别套用相似任务的做法：在 WeeklySales.xlsx 新建 Sheet2，为每周的 Sales 和 COGS 数据创建簇状柱形图，图表标题设为 Sales &amp; COGS。</x:v>
      </x:c>
      <x:c r="Y393" s="39" t="str">
        <x:v>第1条记忆（中期/可复用模板）：在 WeeklySales.xlsx 新建 Sheet2，为每周的 Sales 和 COGS 数据创建簇状柱形图，图表标题设为 Sales &amp; COGS。关键约束：图表放在 Sheet2；图表类型为簇状柱形图；标题必须为 Sales &amp; COGS。</x:v>
      </x:c>
      <x:c r="Z393" s="39" t="str">
        <x:v>不适用：当前题目不存在需要用户进一步选择的候选记忆。</x:v>
      </x:c>
      <x:c r="AA393" s="39" t="str">
        <x:v>第1条记忆（中期/知识）：在 WeeklySales.xlsx 的 COGS 列右侧新增 Profit 列，并按每周 Sales 减去 COGS 计算利润。关键约束：Profit 紧邻 COGS；逐周计算 Sales-COGS；不创建图表。</x:v>
      </x:c>
      <x:c r="AB393" s="39" t="str">
        <x:v>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C393" s="39" t="str">
        <x:v>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x:v>
      </x:c>
      <x:c r="AD393" s="39" t="str">
        <x:v>用户的完整请求是：“这次只做下面这个结果，别套用相似任务的做法：在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E393" s="39" t="str">
        <x:v>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3" s="50" t="str">
        <x:v>not_pass</x:v>
      </x:c>
      <x:c r="AG393" s="50" t="n">
        <x:v>0</x:v>
      </x:c>
    </x:row>
    <x:row r="394" ht="175.5" customHeight="1">
      <x:c r="A394" s="35" t="str">
        <x:v>V3_CF03_Q03</x:v>
      </x:c>
      <x:c r="B394" s="36" t="str">
        <x:v>SG_CONFLICT_CF03</x:v>
      </x:c>
      <x:c r="C394" s="36" t="str">
        <x:v>CF03</x:v>
      </x:c>
      <x:c r="D394" s="36" t="str">
        <x:v>WeeklySales 图表与利润硬负例</x:v>
      </x:c>
      <x:c r="E394" s="36" t="str">
        <x:v>conflict_resolution</x:v>
      </x:c>
      <x:c r="F394" s="36" t="str">
        <x:v>contextual_ellipsis</x:v>
      </x:c>
      <x:c r="G394" s="36" t="str">
        <x:v>challenge</x:v>
      </x:c>
      <x:c r="H394" s="36" t="str">
        <x:v>困难</x:v>
      </x:c>
      <x:c r="I394" s="36" t="str">
        <x:v>12382c62-0cd1-4bf2-bdc8-1d20bf9b2371|1e8df695-bd1b-45b3-b557-e7d599cf7597</x:v>
      </x:c>
      <x:c r="J394" s="36" t="str">
        <x:v>CTX_12382c62-0cd1-4bf2-bdc8-1d20bf9b2371</x:v>
      </x:c>
      <x:c r="K394" s="36" t="str">
        <x:v>MTM_12382c62-0cd1-4bf2-bdc8-1d20bf9b2371</x:v>
      </x:c>
      <x:c r="L394" s="36" t="str"/>
      <x:c r="M394" s="36" t="str">
        <x:v>MTM_1e8df695-bd1b-45b3-b557-e7d599cf7597</x:v>
      </x:c>
      <x:c r="N394" s="36" t="str">
        <x:v>可复用模板</x:v>
      </x:c>
      <x:c r="O394" s="36" t="str">
        <x:v>中期</x:v>
      </x:c>
      <x:c r="P394" s="36" t="str">
        <x:v>["libreoffice_calc"]</x:v>
      </x:c>
      <x:c r="Q394" s="36" t="str">
        <x:v>[{"step_id":"S1","app":"libreoffice_calc","action_key":"create_sales_cogs_clustered_column_chart","input_artifacts":["WeeklySales.xlsx"],"output_artifacts":["WeeklySales.xlsx"],"depends_on":[]}]</x:v>
      </x:c>
      <x:c r="R394" s="36" t="str">
        <x:v>[]</x:v>
      </x:c>
      <x:c r="S394" s="36" t="str">
        <x:v>create_sales_cogs_clustered_column_chart</x:v>
      </x:c>
      <x:c r="T394" s="36" t="str">
        <x:v>WeeklySales.xlsx</x:v>
      </x:c>
      <x:c r="U394" s="36" t="str">
        <x:v>retrieve_and_execute</x:v>
      </x:c>
      <x:c r="V394" s="36" t="str">
        <x:v>[{"point_id":"P1","description":"在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x:v>
      </x:c>
      <x:c r="W394" s="36" t="str">
        <x:v>1.00</x:v>
      </x:c>
      <x:c r="X394" s="39" t="str">
        <x:v>文件已经打开了，我要的是这套处理：在 WeeklySales.xlsx 新建 Sheet2，为每周的 Sales 和 COGS 数据创建簇状柱形图，图表标题设为 Sales &amp; COGS。</x:v>
      </x:c>
      <x:c r="Y394" s="39" t="str">
        <x:v>第1条记忆（中期/可复用模板）：在 WeeklySales.xlsx 新建 Sheet2，为每周的 Sales 和 COGS 数据创建簇状柱形图，图表标题设为 Sales &amp; COGS。关键约束：图表放在 Sheet2；图表类型为簇状柱形图；标题必须为 Sales &amp; COGS。</x:v>
      </x:c>
      <x:c r="Z394" s="39" t="str">
        <x:v>不适用：当前题目不存在需要用户进一步选择的候选记忆。</x:v>
      </x:c>
      <x:c r="AA394" s="39" t="str">
        <x:v>第1条记忆（中期/知识）：在 WeeklySales.xlsx 的 COGS 列右侧新增 Profit 列，并按每周 Sales 减去 COGS 计算利润。关键约束：Profit 紧邻 COGS；逐周计算 Sales-COGS；不创建图表。</x:v>
      </x:c>
      <x:c r="AB394" s="39" t="str">
        <x:v>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C394" s="39" t="str">
        <x:v>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x:v>
      </x:c>
      <x:c r="AD394" s="39" t="str">
        <x:v>用户的完整请求是：“文件已经打开了，我要的是这套处理：在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E394" s="39" t="str">
        <x:v>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4" s="50" t="str">
        <x:v>not_pass</x:v>
      </x:c>
      <x:c r="AG394" s="50" t="n">
        <x:v>0</x:v>
      </x:c>
    </x:row>
    <x:row r="395" ht="175.5" customHeight="1">
      <x:c r="A395" s="35" t="str">
        <x:v>V3_CF03_Q04</x:v>
      </x:c>
      <x:c r="B395" s="36" t="str">
        <x:v>SG_CONFLICT_CF03</x:v>
      </x:c>
      <x:c r="C395" s="36" t="str">
        <x:v>CF03</x:v>
      </x:c>
      <x:c r="D395" s="36" t="str">
        <x:v>WeeklySales 图表与利润硬负例</x:v>
      </x:c>
      <x:c r="E395" s="36" t="str">
        <x:v>conflict_resolution</x:v>
      </x:c>
      <x:c r="F395" s="36" t="str">
        <x:v>low_overlap_paraphrase</x:v>
      </x:c>
      <x:c r="G395" s="36" t="str">
        <x:v>challenge</x:v>
      </x:c>
      <x:c r="H395" s="36" t="str">
        <x:v>困难</x:v>
      </x:c>
      <x:c r="I395" s="36" t="str">
        <x:v>12382c62-0cd1-4bf2-bdc8-1d20bf9b2371|1e8df695-bd1b-45b3-b557-e7d599cf7597</x:v>
      </x:c>
      <x:c r="J395" s="36" t="str">
        <x:v>CTX_12382c62-0cd1-4bf2-bdc8-1d20bf9b2371</x:v>
      </x:c>
      <x:c r="K395" s="36" t="str">
        <x:v>MTM_12382c62-0cd1-4bf2-bdc8-1d20bf9b2371</x:v>
      </x:c>
      <x:c r="L395" s="36" t="str"/>
      <x:c r="M395" s="36" t="str">
        <x:v>MTM_1e8df695-bd1b-45b3-b557-e7d599cf7597</x:v>
      </x:c>
      <x:c r="N395" s="36" t="str">
        <x:v>可复用模板</x:v>
      </x:c>
      <x:c r="O395" s="36" t="str">
        <x:v>中期</x:v>
      </x:c>
      <x:c r="P395" s="36" t="str">
        <x:v>["libreoffice_calc"]</x:v>
      </x:c>
      <x:c r="Q395" s="36" t="str">
        <x:v>[{"step_id":"S1","app":"libreoffice_calc","action_key":"create_sales_cogs_clustered_column_chart","input_artifacts":["WeeklySales.xlsx"],"output_artifacts":["WeeklySales.xlsx"],"depends_on":[]}]</x:v>
      </x:c>
      <x:c r="R395" s="36" t="str">
        <x:v>[]</x:v>
      </x:c>
      <x:c r="S395" s="36" t="str">
        <x:v>create_sales_cogs_clustered_column_chart</x:v>
      </x:c>
      <x:c r="T395" s="36" t="str">
        <x:v>WeeklySales.xlsx</x:v>
      </x:c>
      <x:c r="U395" s="36" t="str">
        <x:v>retrieve_and_execute</x:v>
      </x:c>
      <x:c r="V395" s="36" t="str">
        <x:v>[{"point_id":"P1","description":"在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x:v>
      </x:c>
      <x:c r="W395" s="36" t="str">
        <x:v>1.00</x:v>
      </x:c>
      <x:c r="X395" s="39" t="str">
        <x:v>前面的相似方案先不要用，当前目标是：在 WeeklySales.xlsx 新建 Sheet2，为每周的 Sales 和 COGS 数据创建簇状柱形图，图表标题设为 Sales &amp; COGS。</x:v>
      </x:c>
      <x:c r="Y395" s="39" t="str">
        <x:v>第1条记忆（中期/可复用模板）：在 WeeklySales.xlsx 新建 Sheet2，为每周的 Sales 和 COGS 数据创建簇状柱形图，图表标题设为 Sales &amp; COGS。关键约束：图表放在 Sheet2；图表类型为簇状柱形图；标题必须为 Sales &amp; COGS。</x:v>
      </x:c>
      <x:c r="Z395" s="39" t="str">
        <x:v>不适用：当前题目不存在需要用户进一步选择的候选记忆。</x:v>
      </x:c>
      <x:c r="AA395" s="39" t="str">
        <x:v>第1条记忆（中期/知识）：在 WeeklySales.xlsx 的 COGS 列右侧新增 Profit 列，并按每周 Sales 减去 COGS 计算利润。关键约束：Profit 紧邻 COGS；逐周计算 Sales-COGS；不创建图表。</x:v>
      </x:c>
      <x:c r="AB395" s="39" t="str">
        <x:v>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C395" s="39" t="str">
        <x:v>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x:v>
      </x:c>
      <x:c r="AD395" s="39" t="str">
        <x:v>用户的完整请求是：“前面的相似方案先不要用，当前目标是：在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E395" s="39" t="str">
        <x:v>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5" s="50" t="str">
        <x:v>not_pass</x:v>
      </x:c>
      <x:c r="AG395" s="50" t="n">
        <x:v>0</x:v>
      </x:c>
    </x:row>
    <x:row r="396" ht="175.5" customHeight="1">
      <x:c r="A396" s="35" t="str">
        <x:v>V3_CF03_Q05</x:v>
      </x:c>
      <x:c r="B396" s="36" t="str">
        <x:v>SG_CONFLICT_CF03</x:v>
      </x:c>
      <x:c r="C396" s="36" t="str">
        <x:v>CF03</x:v>
      </x:c>
      <x:c r="D396" s="36" t="str">
        <x:v>WeeklySales 图表与利润硬负例</x:v>
      </x:c>
      <x:c r="E396" s="36" t="str">
        <x:v>conflict_resolution</x:v>
      </x:c>
      <x:c r="F396" s="36" t="str">
        <x:v>human_constraint_emphasis</x:v>
      </x:c>
      <x:c r="G396" s="36" t="str">
        <x:v>challenge</x:v>
      </x:c>
      <x:c r="H396" s="36" t="str">
        <x:v>困难</x:v>
      </x:c>
      <x:c r="I396" s="36" t="str">
        <x:v>12382c62-0cd1-4bf2-bdc8-1d20bf9b2371|1e8df695-bd1b-45b3-b557-e7d599cf7597</x:v>
      </x:c>
      <x:c r="J396" s="36" t="str">
        <x:v>CTX_12382c62-0cd1-4bf2-bdc8-1d20bf9b2371</x:v>
      </x:c>
      <x:c r="K396" s="36" t="str">
        <x:v>MTM_12382c62-0cd1-4bf2-bdc8-1d20bf9b2371</x:v>
      </x:c>
      <x:c r="L396" s="36" t="str"/>
      <x:c r="M396" s="36" t="str">
        <x:v>MTM_1e8df695-bd1b-45b3-b557-e7d599cf7597</x:v>
      </x:c>
      <x:c r="N396" s="36" t="str">
        <x:v>可复用模板</x:v>
      </x:c>
      <x:c r="O396" s="36" t="str">
        <x:v>中期</x:v>
      </x:c>
      <x:c r="P396" s="36" t="str">
        <x:v>["libreoffice_calc"]</x:v>
      </x:c>
      <x:c r="Q396" s="36" t="str">
        <x:v>[{"step_id":"S1","app":"libreoffice_calc","action_key":"create_sales_cogs_clustered_column_chart","input_artifacts":["WeeklySales.xlsx"],"output_artifacts":["WeeklySales.xlsx"],"depends_on":[]}]</x:v>
      </x:c>
      <x:c r="R396" s="36" t="str">
        <x:v>[]</x:v>
      </x:c>
      <x:c r="S396" s="36" t="str">
        <x:v>create_sales_cogs_clustered_column_chart</x:v>
      </x:c>
      <x:c r="T396" s="36" t="str">
        <x:v>WeeklySales.xlsx</x:v>
      </x:c>
      <x:c r="U396" s="36" t="str">
        <x:v>retrieve_and_execute</x:v>
      </x:c>
      <x:c r="V396" s="36" t="str">
        <x:v>[{"point_id":"P1","description":"在 WeeklySales.xlsx 新建 Sheet2，为每周的 Sales 和 COGS 数据创建簇状柱形图，图表标题设为 Sales &amp; COGS。","weight":0.8,"evidence_memory_ids":["MTM_12382c62-0cd1-4bf2-bdc8-1d20bf9b2371"]},{"point_id":"P2","description":"不采用禁止记忆中的冲突操作，且不让错误方案替代必需结论","weight":0.2,"evidence_memory_ids":["MTM_12382c62-0cd1-4bf2-bdc8-1d20bf9b2371","MTM_1e8df695-bd1b-45b3-b557-e7d599cf7597"]}]</x:v>
      </x:c>
      <x:c r="W396" s="36" t="str">
        <x:v>1.00</x:v>
      </x:c>
      <x:c r="X396" s="39" t="str">
        <x:v>为了避免选错历史记录，我把要求再说一遍：在 WeeklySales.xlsx 新建 Sheet2，为每周的 Sales 和 COGS 数据创建簇状柱形图，图表标题设为 Sales &amp; COGS。</x:v>
      </x:c>
      <x:c r="Y396" s="39" t="str">
        <x:v>第1条记忆（中期/可复用模板）：在 WeeklySales.xlsx 新建 Sheet2，为每周的 Sales 和 COGS 数据创建簇状柱形图，图表标题设为 Sales &amp; COGS。关键约束：图表放在 Sheet2；图表类型为簇状柱形图；标题必须为 Sales &amp; COGS。</x:v>
      </x:c>
      <x:c r="Z396" s="39" t="str">
        <x:v>不适用：当前题目不存在需要用户进一步选择的候选记忆。</x:v>
      </x:c>
      <x:c r="AA396" s="39" t="str">
        <x:v>第1条记忆（中期/知识）：在 WeeklySales.xlsx 的 COGS 列右侧新增 Profit 列，并按每周 Sales 减去 COGS 计算利润。关键约束：Profit 紧邻 COGS；逐周计算 Sales-COGS；不创建图表。</x:v>
      </x:c>
      <x:c r="AB396" s="39" t="str">
        <x:v>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C396" s="39" t="str">
        <x:v>第1项实际操作：在 WeeklySales.xlsx 新建 Sheet2，为每周的 Sales 和 COGS 数据创建簇状柱形图，图表标题设为 Sales &amp; COGS。执行时必须满足：图表放在 Sheet2；图表类型为簇状柱形图；标题必须为 Sales &amp; COGS。 第1项禁止操作：在 WeeklySales.xlsx 的 COGS 列右侧新增 Profit 列，并按每周 Sales 减去 COGS 计算利润。该操作不得替代或混入当前执行结果。</x:v>
      </x:c>
      <x:c r="AD396" s="39" t="str">
        <x:v>用户的完整请求是：“为了避免选错历史记录，我把要求再说一遍：在 WeeklySales.xlsx 新建 Sheet2，为每周的 Sales 和 COGS 数据创建簇状柱形图，图表标题设为 Sales &amp; COGS。” 第1个当前上下文：WeeklySales.xlsx 已在 LibreOffice Calc 中打开。 与当前请求一致、应当调用的完整记忆如下：
第1条记忆（中期/可复用模板）：在 WeeklySales.xlsx 新建 Sheet2，为每周的 Sales 和 COGS 数据创建簇状柱形图，图表标题设为 Sales &amp; COGS。关键约束：图表放在 Sheet2；图表类型为簇状柱形图；标题必须为 Sales &amp; COGS。
这些记忆描述的目标文件、操作对象、处理方式和输出结果与 Query 中明确表达的当前要求一致。与此同时，记忆库中还存在以下容易造成误检的完整禁止记忆：
第1条记忆（中期/知识）：在 WeeklySales.xlsx 的 COGS 列右侧新增 Profit 列，并按每周 Sales 减去 COGS 计算利润。关键约束：Profit 紧邻 COGS；逐周计算 Sales-COGS；不创建图表。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WeeklySales.xlsx 新建 Sheet2，为每周的 Sales 和 COGS 数据创建簇状柱形图，图表标题设为 Sales &amp; COGS。同时明确不得采用以下相似但不符合当前要求的方案：在 WeeklySales.xlsx 的 COGS 列右侧新增 Profit 列，并按每周 Sales 减去 COGS 计算利润。”</x:v>
      </x:c>
      <x:c r="AE396" s="39" t="str">
        <x:v>本题总分为 1.00 分，各得分点独立累计，允许语义等价表达，不要求模型输出记忆 ID，也不要求逐字复述记忆原文。
第1个得分点（0.80分）：在 WeeklySales.xlsx 新建 Sheet2，为每周的 Sales 和 COGS 数据创建簇状柱形图，图表标题设为 Sales &amp; COGS。该得分点所依据的完整证据为：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第2个得分点（0.20分）：不采用禁止记忆中的冲突操作，且不让错误方案替代必需结论。该得分点所依据的完整证据为：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396" s="50" t="str">
        <x:v>not_pass</x:v>
      </x:c>
      <x:c r="AG396" s="50" t="n">
        <x:v>0</x:v>
      </x:c>
    </x:row>
    <x:row r="397" ht="189" customHeight="1">
      <x:c r="A397" s="35" t="str">
        <x:v>V3_CF04_Q01</x:v>
      </x:c>
      <x:c r="B397" s="36" t="str">
        <x:v>SG_CONFLICT_CF04</x:v>
      </x:c>
      <x:c r="C397" s="36" t="str">
        <x:v>CF04</x:v>
      </x:c>
      <x:c r="D397" s="36" t="str">
        <x:v>BoomerangSales 收入与趋势硬负例</x:v>
      </x:c>
      <x:c r="E397" s="36" t="str">
        <x:v>conflict_resolution</x:v>
      </x:c>
      <x:c r="F397" s="36" t="str">
        <x:v>human_context_explicit</x:v>
      </x:c>
      <x:c r="G397" s="36" t="str">
        <x:v>challenge</x:v>
      </x:c>
      <x:c r="H397" s="36" t="str">
        <x:v>困难</x:v>
      </x:c>
      <x:c r="I397" s="36" t="str">
        <x:v>51719eea-10bc-4246-a428-ac7c433dd4b3|3a7c8185-25c1-4941-bd7b-96e823c9f21f</x:v>
      </x:c>
      <x:c r="J397" s="36" t="str">
        <x:v>CTX_51719eea-10bc-4246-a428-ac7c433dd4b3</x:v>
      </x:c>
      <x:c r="K397" s="36" t="str">
        <x:v>STM_51719eea-10bc-4246-a428-ac7c433dd4b3</x:v>
      </x:c>
      <x:c r="L397" s="36" t="str"/>
      <x:c r="M397" s="36" t="str">
        <x:v>MTM_3a7c8185-25c1-4941-bd7b-96e823c9f21f</x:v>
      </x:c>
      <x:c r="N397" s="36" t="str">
        <x:v>工作流程</x:v>
      </x:c>
      <x:c r="O397" s="36" t="str">
        <x:v>短期</x:v>
      </x:c>
      <x:c r="P397" s="36" t="str">
        <x:v>["libreoffice_calc"]</x:v>
      </x:c>
      <x:c r="Q397" s="36" t="str">
        <x:v>[{"step_id":"S1","app":"libreoffice_calc","action_key":"calculate_revenue_and_create_product_pivot","input_artifacts":["BoomerangSales.xlsx"],"output_artifacts":["BoomerangSales.xlsx"],"depends_on":[]}]</x:v>
      </x:c>
      <x:c r="R397" s="36" t="str">
        <x:v>[]</x:v>
      </x:c>
      <x:c r="S397" s="36" t="str">
        <x:v>calculate_revenue_and_create_product_pivot</x:v>
      </x:c>
      <x:c r="T397" s="36" t="str">
        <x:v>BoomerangSales.xlsx</x:v>
      </x:c>
      <x:c r="U397" s="36" t="str">
        <x:v>retrieve_and_execute</x:v>
      </x:c>
      <x:c r="V397" s="36" t="str">
        <x:v>[{"point_id":"P1","description":"在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x:v>
      </x:c>
      <x:c r="W397" s="36" t="str">
        <x:v>1.00</x:v>
      </x:c>
      <x:c r="X397" s="39" t="str">
        <x:v>我正在处理这份表，按之前确认的这一版来：在 BoomerangSales.xlsx 中依据 Retail Price 表的产品价格，并结合数量和折扣计算 Revenue 新列；随后在 Sheet2 创建按产品汇总收入的数据透视表。</x:v>
      </x:c>
      <x:c r="Y397"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97" s="39" t="str">
        <x:v>不适用：当前题目不存在需要用户进一步选择的候选记忆。</x:v>
      </x:c>
      <x:c r="AA397" s="39" t="str">
        <x:v>第1条记忆（中期/工作流程）：在 BoomerangSales.xlsx 中先按 A 列升序排列数据，再创建折线图，以 Date Time 为横轴、quantity 为纵轴。关键约束：必须先排序再作图；A 列升序；横轴 Date Time，纵轴 quantity。</x:v>
      </x:c>
      <x:c r="AB397" s="39" t="str">
        <x:v>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C397"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x:v>
      </x:c>
      <x:c r="AD397" s="39" t="str">
        <x:v>用户的完整请求是：“我正在处理这份表，按之前确认的这一版来：在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E397" s="39" t="str">
        <x:v>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397" s="50" t="str">
        <x:v>not_pass</x:v>
      </x:c>
      <x:c r="AG397" s="50" t="n">
        <x:v>0</x:v>
      </x:c>
    </x:row>
    <x:row r="398" ht="189" customHeight="1">
      <x:c r="A398" s="35" t="str">
        <x:v>V3_CF04_Q02</x:v>
      </x:c>
      <x:c r="B398" s="36" t="str">
        <x:v>SG_CONFLICT_CF04</x:v>
      </x:c>
      <x:c r="C398" s="36" t="str">
        <x:v>CF04</x:v>
      </x:c>
      <x:c r="D398" s="36" t="str">
        <x:v>BoomerangSales 收入与趋势硬负例</x:v>
      </x:c>
      <x:c r="E398" s="36" t="str">
        <x:v>conflict_resolution</x:v>
      </x:c>
      <x:c r="F398" s="36" t="str">
        <x:v>human_goal_oriented</x:v>
      </x:c>
      <x:c r="G398" s="36" t="str">
        <x:v>challenge</x:v>
      </x:c>
      <x:c r="H398" s="36" t="str">
        <x:v>困难</x:v>
      </x:c>
      <x:c r="I398" s="36" t="str">
        <x:v>51719eea-10bc-4246-a428-ac7c433dd4b3|3a7c8185-25c1-4941-bd7b-96e823c9f21f</x:v>
      </x:c>
      <x:c r="J398" s="36" t="str">
        <x:v>CTX_51719eea-10bc-4246-a428-ac7c433dd4b3</x:v>
      </x:c>
      <x:c r="K398" s="36" t="str">
        <x:v>STM_51719eea-10bc-4246-a428-ac7c433dd4b3</x:v>
      </x:c>
      <x:c r="L398" s="36" t="str"/>
      <x:c r="M398" s="36" t="str">
        <x:v>MTM_3a7c8185-25c1-4941-bd7b-96e823c9f21f</x:v>
      </x:c>
      <x:c r="N398" s="36" t="str">
        <x:v>工作流程</x:v>
      </x:c>
      <x:c r="O398" s="36" t="str">
        <x:v>短期</x:v>
      </x:c>
      <x:c r="P398" s="36" t="str">
        <x:v>["libreoffice_calc"]</x:v>
      </x:c>
      <x:c r="Q398" s="36" t="str">
        <x:v>[{"step_id":"S1","app":"libreoffice_calc","action_key":"calculate_revenue_and_create_product_pivot","input_artifacts":["BoomerangSales.xlsx"],"output_artifacts":["BoomerangSales.xlsx"],"depends_on":[]}]</x:v>
      </x:c>
      <x:c r="R398" s="36" t="str">
        <x:v>[]</x:v>
      </x:c>
      <x:c r="S398" s="36" t="str">
        <x:v>calculate_revenue_and_create_product_pivot</x:v>
      </x:c>
      <x:c r="T398" s="36" t="str">
        <x:v>BoomerangSales.xlsx</x:v>
      </x:c>
      <x:c r="U398" s="36" t="str">
        <x:v>retrieve_and_execute</x:v>
      </x:c>
      <x:c r="V398" s="36" t="str">
        <x:v>[{"point_id":"P1","description":"在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x:v>
      </x:c>
      <x:c r="W398" s="36" t="str">
        <x:v>1.00</x:v>
      </x:c>
      <x:c r="X398" s="39" t="str">
        <x:v>这次只做下面这个结果，别套用相似任务的做法：在 BoomerangSales.xlsx 中依据 Retail Price 表的产品价格，并结合数量和折扣计算 Revenue 新列；随后在 Sheet2 创建按产品汇总收入的数据透视表。</x:v>
      </x:c>
      <x:c r="Y398"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98" s="39" t="str">
        <x:v>不适用：当前题目不存在需要用户进一步选择的候选记忆。</x:v>
      </x:c>
      <x:c r="AA398" s="39" t="str">
        <x:v>第1条记忆（中期/工作流程）：在 BoomerangSales.xlsx 中先按 A 列升序排列数据，再创建折线图，以 Date Time 为横轴、quantity 为纵轴。关键约束：必须先排序再作图；A 列升序；横轴 Date Time，纵轴 quantity。</x:v>
      </x:c>
      <x:c r="AB398" s="39" t="str">
        <x:v>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C398"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x:v>
      </x:c>
      <x:c r="AD398" s="39" t="str">
        <x:v>用户的完整请求是：“这次只做下面这个结果，别套用相似任务的做法：在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E398" s="39" t="str">
        <x:v>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398" s="50" t="str">
        <x:v>not_pass</x:v>
      </x:c>
      <x:c r="AG398" s="50" t="n">
        <x:v>0</x:v>
      </x:c>
    </x:row>
    <x:row r="399" ht="189" customHeight="1">
      <x:c r="A399" s="35" t="str">
        <x:v>V3_CF04_Q03</x:v>
      </x:c>
      <x:c r="B399" s="36" t="str">
        <x:v>SG_CONFLICT_CF04</x:v>
      </x:c>
      <x:c r="C399" s="36" t="str">
        <x:v>CF04</x:v>
      </x:c>
      <x:c r="D399" s="36" t="str">
        <x:v>BoomerangSales 收入与趋势硬负例</x:v>
      </x:c>
      <x:c r="E399" s="36" t="str">
        <x:v>conflict_resolution</x:v>
      </x:c>
      <x:c r="F399" s="36" t="str">
        <x:v>contextual_ellipsis</x:v>
      </x:c>
      <x:c r="G399" s="36" t="str">
        <x:v>challenge</x:v>
      </x:c>
      <x:c r="H399" s="36" t="str">
        <x:v>困难</x:v>
      </x:c>
      <x:c r="I399" s="36" t="str">
        <x:v>51719eea-10bc-4246-a428-ac7c433dd4b3|3a7c8185-25c1-4941-bd7b-96e823c9f21f</x:v>
      </x:c>
      <x:c r="J399" s="36" t="str">
        <x:v>CTX_51719eea-10bc-4246-a428-ac7c433dd4b3</x:v>
      </x:c>
      <x:c r="K399" s="36" t="str">
        <x:v>STM_51719eea-10bc-4246-a428-ac7c433dd4b3</x:v>
      </x:c>
      <x:c r="L399" s="36" t="str"/>
      <x:c r="M399" s="36" t="str">
        <x:v>MTM_3a7c8185-25c1-4941-bd7b-96e823c9f21f</x:v>
      </x:c>
      <x:c r="N399" s="36" t="str">
        <x:v>工作流程</x:v>
      </x:c>
      <x:c r="O399" s="36" t="str">
        <x:v>短期</x:v>
      </x:c>
      <x:c r="P399" s="36" t="str">
        <x:v>["libreoffice_calc"]</x:v>
      </x:c>
      <x:c r="Q399" s="36" t="str">
        <x:v>[{"step_id":"S1","app":"libreoffice_calc","action_key":"calculate_revenue_and_create_product_pivot","input_artifacts":["BoomerangSales.xlsx"],"output_artifacts":["BoomerangSales.xlsx"],"depends_on":[]}]</x:v>
      </x:c>
      <x:c r="R399" s="36" t="str">
        <x:v>[]</x:v>
      </x:c>
      <x:c r="S399" s="36" t="str">
        <x:v>calculate_revenue_and_create_product_pivot</x:v>
      </x:c>
      <x:c r="T399" s="36" t="str">
        <x:v>BoomerangSales.xlsx</x:v>
      </x:c>
      <x:c r="U399" s="36" t="str">
        <x:v>retrieve_and_execute</x:v>
      </x:c>
      <x:c r="V399" s="36" t="str">
        <x:v>[{"point_id":"P1","description":"在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x:v>
      </x:c>
      <x:c r="W399" s="36" t="str">
        <x:v>1.00</x:v>
      </x:c>
      <x:c r="X399" s="39" t="str">
        <x:v>文件已经打开了，我要的是这套处理：在 BoomerangSales.xlsx 中依据 Retail Price 表的产品价格，并结合数量和折扣计算 Revenue 新列；随后在 Sheet2 创建按产品汇总收入的数据透视表。</x:v>
      </x:c>
      <x:c r="Y399"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399" s="39" t="str">
        <x:v>不适用：当前题目不存在需要用户进一步选择的候选记忆。</x:v>
      </x:c>
      <x:c r="AA399" s="39" t="str">
        <x:v>第1条记忆（中期/工作流程）：在 BoomerangSales.xlsx 中先按 A 列升序排列数据，再创建折线图，以 Date Time 为横轴、quantity 为纵轴。关键约束：必须先排序再作图；A 列升序；横轴 Date Time，纵轴 quantity。</x:v>
      </x:c>
      <x:c r="AB399" s="39" t="str">
        <x:v>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C399"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x:v>
      </x:c>
      <x:c r="AD399" s="39" t="str">
        <x:v>用户的完整请求是：“文件已经打开了，我要的是这套处理：在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E399" s="39" t="str">
        <x:v>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399" s="50" t="str">
        <x:v>not_pass</x:v>
      </x:c>
      <x:c r="AG399" s="50" t="n">
        <x:v>0</x:v>
      </x:c>
    </x:row>
    <x:row r="400" ht="189" customHeight="1">
      <x:c r="A400" s="35" t="str">
        <x:v>V3_CF04_Q04</x:v>
      </x:c>
      <x:c r="B400" s="36" t="str">
        <x:v>SG_CONFLICT_CF04</x:v>
      </x:c>
      <x:c r="C400" s="36" t="str">
        <x:v>CF04</x:v>
      </x:c>
      <x:c r="D400" s="36" t="str">
        <x:v>BoomerangSales 收入与趋势硬负例</x:v>
      </x:c>
      <x:c r="E400" s="36" t="str">
        <x:v>conflict_resolution</x:v>
      </x:c>
      <x:c r="F400" s="36" t="str">
        <x:v>low_overlap_paraphrase</x:v>
      </x:c>
      <x:c r="G400" s="36" t="str">
        <x:v>challenge</x:v>
      </x:c>
      <x:c r="H400" s="36" t="str">
        <x:v>困难</x:v>
      </x:c>
      <x:c r="I400" s="36" t="str">
        <x:v>51719eea-10bc-4246-a428-ac7c433dd4b3|3a7c8185-25c1-4941-bd7b-96e823c9f21f</x:v>
      </x:c>
      <x:c r="J400" s="36" t="str">
        <x:v>CTX_51719eea-10bc-4246-a428-ac7c433dd4b3</x:v>
      </x:c>
      <x:c r="K400" s="36" t="str">
        <x:v>STM_51719eea-10bc-4246-a428-ac7c433dd4b3</x:v>
      </x:c>
      <x:c r="L400" s="36" t="str"/>
      <x:c r="M400" s="36" t="str">
        <x:v>MTM_3a7c8185-25c1-4941-bd7b-96e823c9f21f</x:v>
      </x:c>
      <x:c r="N400" s="36" t="str">
        <x:v>工作流程</x:v>
      </x:c>
      <x:c r="O400" s="36" t="str">
        <x:v>短期</x:v>
      </x:c>
      <x:c r="P400" s="36" t="str">
        <x:v>["libreoffice_calc"]</x:v>
      </x:c>
      <x:c r="Q400" s="36" t="str">
        <x:v>[{"step_id":"S1","app":"libreoffice_calc","action_key":"calculate_revenue_and_create_product_pivot","input_artifacts":["BoomerangSales.xlsx"],"output_artifacts":["BoomerangSales.xlsx"],"depends_on":[]}]</x:v>
      </x:c>
      <x:c r="R400" s="36" t="str">
        <x:v>[]</x:v>
      </x:c>
      <x:c r="S400" s="36" t="str">
        <x:v>calculate_revenue_and_create_product_pivot</x:v>
      </x:c>
      <x:c r="T400" s="36" t="str">
        <x:v>BoomerangSales.xlsx</x:v>
      </x:c>
      <x:c r="U400" s="36" t="str">
        <x:v>retrieve_and_execute</x:v>
      </x:c>
      <x:c r="V400" s="36" t="str">
        <x:v>[{"point_id":"P1","description":"在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x:v>
      </x:c>
      <x:c r="W400" s="36" t="str">
        <x:v>1.00</x:v>
      </x:c>
      <x:c r="X400" s="39" t="str">
        <x:v>前面的相似方案先不要用，当前目标是：在 BoomerangSales.xlsx 中依据 Retail Price 表的产品价格，并结合数量和折扣计算 Revenue 新列；随后在 Sheet2 创建按产品汇总收入的数据透视表。</x:v>
      </x:c>
      <x:c r="Y400"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400" s="39" t="str">
        <x:v>不适用：当前题目不存在需要用户进一步选择的候选记忆。</x:v>
      </x:c>
      <x:c r="AA400" s="39" t="str">
        <x:v>第1条记忆（中期/工作流程）：在 BoomerangSales.xlsx 中先按 A 列升序排列数据，再创建折线图，以 Date Time 为横轴、quantity 为纵轴。关键约束：必须先排序再作图；A 列升序；横轴 Date Time，纵轴 quantity。</x:v>
      </x:c>
      <x:c r="AB400" s="39" t="str">
        <x:v>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C400"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x:v>
      </x:c>
      <x:c r="AD400" s="39" t="str">
        <x:v>用户的完整请求是：“前面的相似方案先不要用，当前目标是：在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E400" s="39" t="str">
        <x:v>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00" s="50" t="str">
        <x:v>not_pass</x:v>
      </x:c>
      <x:c r="AG400" s="50" t="n">
        <x:v>0</x:v>
      </x:c>
    </x:row>
    <x:row r="401" ht="189" customHeight="1">
      <x:c r="A401" s="35" t="str">
        <x:v>V3_CF04_Q05</x:v>
      </x:c>
      <x:c r="B401" s="36" t="str">
        <x:v>SG_CONFLICT_CF04</x:v>
      </x:c>
      <x:c r="C401" s="36" t="str">
        <x:v>CF04</x:v>
      </x:c>
      <x:c r="D401" s="36" t="str">
        <x:v>BoomerangSales 收入与趋势硬负例</x:v>
      </x:c>
      <x:c r="E401" s="36" t="str">
        <x:v>conflict_resolution</x:v>
      </x:c>
      <x:c r="F401" s="36" t="str">
        <x:v>human_constraint_emphasis</x:v>
      </x:c>
      <x:c r="G401" s="36" t="str">
        <x:v>challenge</x:v>
      </x:c>
      <x:c r="H401" s="36" t="str">
        <x:v>困难</x:v>
      </x:c>
      <x:c r="I401" s="36" t="str">
        <x:v>51719eea-10bc-4246-a428-ac7c433dd4b3|3a7c8185-25c1-4941-bd7b-96e823c9f21f</x:v>
      </x:c>
      <x:c r="J401" s="36" t="str">
        <x:v>CTX_51719eea-10bc-4246-a428-ac7c433dd4b3</x:v>
      </x:c>
      <x:c r="K401" s="36" t="str">
        <x:v>STM_51719eea-10bc-4246-a428-ac7c433dd4b3</x:v>
      </x:c>
      <x:c r="L401" s="36" t="str"/>
      <x:c r="M401" s="36" t="str">
        <x:v>MTM_3a7c8185-25c1-4941-bd7b-96e823c9f21f</x:v>
      </x:c>
      <x:c r="N401" s="36" t="str">
        <x:v>工作流程</x:v>
      </x:c>
      <x:c r="O401" s="36" t="str">
        <x:v>短期</x:v>
      </x:c>
      <x:c r="P401" s="36" t="str">
        <x:v>["libreoffice_calc"]</x:v>
      </x:c>
      <x:c r="Q401" s="36" t="str">
        <x:v>[{"step_id":"S1","app":"libreoffice_calc","action_key":"calculate_revenue_and_create_product_pivot","input_artifacts":["BoomerangSales.xlsx"],"output_artifacts":["BoomerangSales.xlsx"],"depends_on":[]}]</x:v>
      </x:c>
      <x:c r="R401" s="36" t="str">
        <x:v>[]</x:v>
      </x:c>
      <x:c r="S401" s="36" t="str">
        <x:v>calculate_revenue_and_create_product_pivot</x:v>
      </x:c>
      <x:c r="T401" s="36" t="str">
        <x:v>BoomerangSales.xlsx</x:v>
      </x:c>
      <x:c r="U401" s="36" t="str">
        <x:v>retrieve_and_execute</x:v>
      </x:c>
      <x:c r="V401" s="36" t="str">
        <x:v>[{"point_id":"P1","description":"在 BoomerangSales.xlsx 中依据 Retail Price 表的产品价格，并结合数量和折扣计算 Revenue 新列；随后在 Sheet2 创建按产品汇总收入的数据透视表。","weight":0.8,"evidence_memory_ids":["STM_51719eea-10bc-4246-a428-ac7c433dd4b3"]},{"point_id":"P2","description":"不采用禁止记忆中的冲突操作，且不让错误方案替代必需结论","weight":0.2,"evidence_memory_ids":["STM_51719eea-10bc-4246-a428-ac7c433dd4b3","MTM_3a7c8185-25c1-4941-bd7b-96e823c9f21f"]}]</x:v>
      </x:c>
      <x:c r="W401" s="36" t="str">
        <x:v>1.00</x:v>
      </x:c>
      <x:c r="X401" s="39" t="str">
        <x:v>为了避免选错历史记录，我把要求再说一遍：在 BoomerangSales.xlsx 中依据 Retail Price 表的产品价格，并结合数量和折扣计算 Revenue 新列；随后在 Sheet2 创建按产品汇总收入的数据透视表。</x:v>
      </x:c>
      <x:c r="Y401" s="39" t="str">
        <x:v>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Z401" s="39" t="str">
        <x:v>不适用：当前题目不存在需要用户进一步选择的候选记忆。</x:v>
      </x:c>
      <x:c r="AA401" s="39" t="str">
        <x:v>第1条记忆（中期/工作流程）：在 BoomerangSales.xlsx 中先按 A 列升序排列数据，再创建折线图，以 Date Time 为横轴、quantity 为纵轴。关键约束：必须先排序再作图；A 列升序；横轴 Date Time，纵轴 quantity。</x:v>
      </x:c>
      <x:c r="AB401" s="39" t="str">
        <x:v>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C401" s="39" t="str">
        <x:v>第1项实际操作：在 BoomerangSales.xlsx 中依据 Retail Price 表的产品价格，并结合数量和折扣计算 Revenue 新列；随后在 Sheet2 创建按产品汇总收入的数据透视表。执行时必须满足：收入同时考虑价格、数量和折扣；透视表按产品汇总；结果放 Sheet2。 第1项禁止操作：在 BoomerangSales.xlsx 中先按 A 列升序排列数据，再创建折线图，以 Date Time 为横轴、quantity 为纵轴。该操作不得替代或混入当前执行结果。</x:v>
      </x:c>
      <x:c r="AD401" s="39" t="str">
        <x:v>用户的完整请求是：“为了避免选错历史记录，我把要求再说一遍：在 BoomerangSales.xlsx 中依据 Retail Price 表的产品价格，并结合数量和折扣计算 Revenue 新列；随后在 Sheet2 创建按产品汇总收入的数据透视表。” 第1个当前上下文：BoomerangSales.xlsx 已在 LibreOffice Calc 中打开。 与当前请求一致、应当调用的完整记忆如下：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这些记忆描述的目标文件、操作对象、处理方式和输出结果与 Query 中明确表达的当前要求一致。与此同时，记忆库中还存在以下容易造成误检的完整禁止记忆：
第1条记忆（中期/工作流程）：在 BoomerangSales.xlsx 中先按 A 列升序排列数据，再创建折线图，以 Date Time 为横轴、quantity 为纵轴。关键约束：必须先排序再作图；A 列升序；横轴 Date Time，纵轴 quantity。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BoomerangSales.xlsx 中依据 Retail Price 表的产品价格，并结合数量和折扣计算 Revenue 新列；随后在 Sheet2 创建按产品汇总收入的数据透视表。同时明确不得采用以下相似但不符合当前要求的方案：在 BoomerangSales.xlsx 中先按 A 列升序排列数据，再创建折线图，以 Date Time 为横轴、quantity 为纵轴。”</x:v>
      </x:c>
      <x:c r="AE401" s="39" t="str">
        <x:v>本题总分为 1.00 分，各得分点独立累计，允许语义等价表达，不要求模型输出记忆 ID，也不要求逐字复述记忆原文。
第1个得分点（0.80分）：在 BoomerangSales.xlsx 中依据 Retail Price 表的产品价格，并结合数量和折扣计算 Revenue 新列；随后在 Sheet2 创建按产品汇总收入的数据透视表。该得分点所依据的完整证据为：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第2个得分点（0.20分）：不采用禁止记忆中的冲突操作，且不让错误方案替代必需结论。该得分点所依据的完整证据为：
第1条记忆（短期/工作流程）：在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01" s="50" t="str">
        <x:v>not_pass</x:v>
      </x:c>
      <x:c r="AG401" s="50" t="n">
        <x:v>0</x:v>
      </x:c>
    </x:row>
    <x:row r="402" ht="175.5" customHeight="1">
      <x:c r="A402" s="35" t="str">
        <x:v>V3_CF05_Q01</x:v>
      </x:c>
      <x:c r="B402" s="36" t="str">
        <x:v>SG_CONFLICT_CF05</x:v>
      </x:c>
      <x:c r="C402" s="36" t="str">
        <x:v>CF05</x:v>
      </x:c>
      <x:c r="D402" s="36" t="str">
        <x:v>发票计数与促销透视硬负例</x:v>
      </x:c>
      <x:c r="E402" s="36" t="str">
        <x:v>conflict_resolution</x:v>
      </x:c>
      <x:c r="F402" s="36" t="str">
        <x:v>human_context_explicit</x:v>
      </x:c>
      <x:c r="G402" s="36" t="str">
        <x:v>challenge</x:v>
      </x:c>
      <x:c r="H402" s="36" t="str">
        <x:v>困难</x:v>
      </x:c>
      <x:c r="I402" s="36" t="str">
        <x:v>1954cced-e748-45c4-9c26-9855b97fbc5e|1de60575-bb6e-4c3d-9e6a-2fa699f9f197</x:v>
      </x:c>
      <x:c r="J402" s="36" t="str">
        <x:v>CTX_1954cced-e748-45c4-9c26-9855b97fbc5e</x:v>
      </x:c>
      <x:c r="K402" s="36" t="str">
        <x:v>MTM_1954cced-e748-45c4-9c26-9855b97fbc5e</x:v>
      </x:c>
      <x:c r="L402" s="36" t="str"/>
      <x:c r="M402" s="36" t="str">
        <x:v>STM_1de60575-bb6e-4c3d-9e6a-2fa699f9f197</x:v>
      </x:c>
      <x:c r="N402" s="36" t="str">
        <x:v>可复用模板</x:v>
      </x:c>
      <x:c r="O402" s="36" t="str">
        <x:v>中期</x:v>
      </x:c>
      <x:c r="P402" s="36" t="str">
        <x:v>["libreoffice_calc"]</x:v>
      </x:c>
      <x:c r="Q402" s="36" t="str">
        <x:v>[{"step_id":"S1","app":"libreoffice_calc","action_key":"create_invoice_count_pivot","input_artifacts":["Invoices.xlsx"],"output_artifacts":["Invoices.xlsx"],"depends_on":[]}]</x:v>
      </x:c>
      <x:c r="R402" s="36" t="str">
        <x:v>[]</x:v>
      </x:c>
      <x:c r="S402" s="36" t="str">
        <x:v>create_invoice_count_pivot</x:v>
      </x:c>
      <x:c r="T402" s="36" t="str">
        <x:v>Invoices.xlsx</x:v>
      </x:c>
      <x:c r="U402" s="36" t="str">
        <x:v>retrieve_and_execute</x:v>
      </x:c>
      <x:c r="V402" s="36" t="str">
        <x:v>[{"point_id":"P1","description":"在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x:v>
      </x:c>
      <x:c r="W402" s="36" t="str">
        <x:v>1.00</x:v>
      </x:c>
      <x:c r="X402" s="39" t="str">
        <x:v>我正在处理这份表，按之前确认的这一版来：在 Invoices.xlsx 新建 Sheet2，通过数据透视表统计每个 Invoice No. 出现的次数。</x:v>
      </x:c>
      <x:c r="Y402" s="39" t="str">
        <x:v>第1条记忆（中期/可复用模板）：在 Invoices.xlsx 新建 Sheet2，通过数据透视表统计每个 Invoice No. 出现的次数。关键约束：使用数据透视表；目标为 Sheet2；按 Invoice No. 分组计数。</x:v>
      </x:c>
      <x:c r="Z402" s="39" t="str">
        <x:v>不适用：当前题目不存在需要用户进一步选择的候选记忆。</x:v>
      </x:c>
      <x:c r="AA402" s="39" t="str">
        <x:v>第1条记忆（短期/工作流程）：在 EntireSummerSales.xlsx 新建 Sheet2，用数据透视表汇总每种 promotion type 的总 revenue，并将促销名称作为列标题。关键约束：使用数据透视表；促销名称作为列标题；结果放入 Sheet2。</x:v>
      </x:c>
      <x:c r="AB402" s="39" t="str">
        <x:v>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C402" s="39" t="str">
        <x:v>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x:v>
      </x:c>
      <x:c r="AD402" s="39" t="str">
        <x:v>用户的完整请求是：“我正在处理这份表，按之前确认的这一版来：在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E402" s="39" t="str">
        <x:v>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2" s="50" t="str">
        <x:v>not_pass</x:v>
      </x:c>
      <x:c r="AG402" s="50" t="n">
        <x:v>0</x:v>
      </x:c>
    </x:row>
    <x:row r="403" ht="175.5" customHeight="1">
      <x:c r="A403" s="35" t="str">
        <x:v>V3_CF05_Q02</x:v>
      </x:c>
      <x:c r="B403" s="36" t="str">
        <x:v>SG_CONFLICT_CF05</x:v>
      </x:c>
      <x:c r="C403" s="36" t="str">
        <x:v>CF05</x:v>
      </x:c>
      <x:c r="D403" s="36" t="str">
        <x:v>发票计数与促销透视硬负例</x:v>
      </x:c>
      <x:c r="E403" s="36" t="str">
        <x:v>conflict_resolution</x:v>
      </x:c>
      <x:c r="F403" s="36" t="str">
        <x:v>human_goal_oriented</x:v>
      </x:c>
      <x:c r="G403" s="36" t="str">
        <x:v>challenge</x:v>
      </x:c>
      <x:c r="H403" s="36" t="str">
        <x:v>困难</x:v>
      </x:c>
      <x:c r="I403" s="36" t="str">
        <x:v>1954cced-e748-45c4-9c26-9855b97fbc5e|1de60575-bb6e-4c3d-9e6a-2fa699f9f197</x:v>
      </x:c>
      <x:c r="J403" s="36" t="str">
        <x:v>CTX_1954cced-e748-45c4-9c26-9855b97fbc5e</x:v>
      </x:c>
      <x:c r="K403" s="36" t="str">
        <x:v>MTM_1954cced-e748-45c4-9c26-9855b97fbc5e</x:v>
      </x:c>
      <x:c r="L403" s="36" t="str"/>
      <x:c r="M403" s="36" t="str">
        <x:v>STM_1de60575-bb6e-4c3d-9e6a-2fa699f9f197</x:v>
      </x:c>
      <x:c r="N403" s="36" t="str">
        <x:v>可复用模板</x:v>
      </x:c>
      <x:c r="O403" s="36" t="str">
        <x:v>中期</x:v>
      </x:c>
      <x:c r="P403" s="36" t="str">
        <x:v>["libreoffice_calc"]</x:v>
      </x:c>
      <x:c r="Q403" s="36" t="str">
        <x:v>[{"step_id":"S1","app":"libreoffice_calc","action_key":"create_invoice_count_pivot","input_artifacts":["Invoices.xlsx"],"output_artifacts":["Invoices.xlsx"],"depends_on":[]}]</x:v>
      </x:c>
      <x:c r="R403" s="36" t="str">
        <x:v>[]</x:v>
      </x:c>
      <x:c r="S403" s="36" t="str">
        <x:v>create_invoice_count_pivot</x:v>
      </x:c>
      <x:c r="T403" s="36" t="str">
        <x:v>Invoices.xlsx</x:v>
      </x:c>
      <x:c r="U403" s="36" t="str">
        <x:v>retrieve_and_execute</x:v>
      </x:c>
      <x:c r="V403" s="36" t="str">
        <x:v>[{"point_id":"P1","description":"在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x:v>
      </x:c>
      <x:c r="W403" s="36" t="str">
        <x:v>1.00</x:v>
      </x:c>
      <x:c r="X403" s="39" t="str">
        <x:v>这次只做下面这个结果，别套用相似任务的做法：在 Invoices.xlsx 新建 Sheet2，通过数据透视表统计每个 Invoice No. 出现的次数。</x:v>
      </x:c>
      <x:c r="Y403" s="39" t="str">
        <x:v>第1条记忆（中期/可复用模板）：在 Invoices.xlsx 新建 Sheet2，通过数据透视表统计每个 Invoice No. 出现的次数。关键约束：使用数据透视表；目标为 Sheet2；按 Invoice No. 分组计数。</x:v>
      </x:c>
      <x:c r="Z403" s="39" t="str">
        <x:v>不适用：当前题目不存在需要用户进一步选择的候选记忆。</x:v>
      </x:c>
      <x:c r="AA403" s="39" t="str">
        <x:v>第1条记忆（短期/工作流程）：在 EntireSummerSales.xlsx 新建 Sheet2，用数据透视表汇总每种 promotion type 的总 revenue，并将促销名称作为列标题。关键约束：使用数据透视表；促销名称作为列标题；结果放入 Sheet2。</x:v>
      </x:c>
      <x:c r="AB403" s="39" t="str">
        <x:v>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C403" s="39" t="str">
        <x:v>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x:v>
      </x:c>
      <x:c r="AD403" s="39" t="str">
        <x:v>用户的完整请求是：“这次只做下面这个结果，别套用相似任务的做法：在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E403" s="39" t="str">
        <x:v>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3" s="50" t="str">
        <x:v>not_pass</x:v>
      </x:c>
      <x:c r="AG403" s="50" t="n">
        <x:v>0</x:v>
      </x:c>
    </x:row>
    <x:row r="404" ht="175.5" customHeight="1">
      <x:c r="A404" s="35" t="str">
        <x:v>V3_CF05_Q03</x:v>
      </x:c>
      <x:c r="B404" s="36" t="str">
        <x:v>SG_CONFLICT_CF05</x:v>
      </x:c>
      <x:c r="C404" s="36" t="str">
        <x:v>CF05</x:v>
      </x:c>
      <x:c r="D404" s="36" t="str">
        <x:v>发票计数与促销透视硬负例</x:v>
      </x:c>
      <x:c r="E404" s="36" t="str">
        <x:v>conflict_resolution</x:v>
      </x:c>
      <x:c r="F404" s="36" t="str">
        <x:v>contextual_ellipsis</x:v>
      </x:c>
      <x:c r="G404" s="36" t="str">
        <x:v>challenge</x:v>
      </x:c>
      <x:c r="H404" s="36" t="str">
        <x:v>困难</x:v>
      </x:c>
      <x:c r="I404" s="36" t="str">
        <x:v>1954cced-e748-45c4-9c26-9855b97fbc5e|1de60575-bb6e-4c3d-9e6a-2fa699f9f197</x:v>
      </x:c>
      <x:c r="J404" s="36" t="str">
        <x:v>CTX_1954cced-e748-45c4-9c26-9855b97fbc5e</x:v>
      </x:c>
      <x:c r="K404" s="36" t="str">
        <x:v>MTM_1954cced-e748-45c4-9c26-9855b97fbc5e</x:v>
      </x:c>
      <x:c r="L404" s="36" t="str"/>
      <x:c r="M404" s="36" t="str">
        <x:v>STM_1de60575-bb6e-4c3d-9e6a-2fa699f9f197</x:v>
      </x:c>
      <x:c r="N404" s="36" t="str">
        <x:v>可复用模板</x:v>
      </x:c>
      <x:c r="O404" s="36" t="str">
        <x:v>中期</x:v>
      </x:c>
      <x:c r="P404" s="36" t="str">
        <x:v>["libreoffice_calc"]</x:v>
      </x:c>
      <x:c r="Q404" s="36" t="str">
        <x:v>[{"step_id":"S1","app":"libreoffice_calc","action_key":"create_invoice_count_pivot","input_artifacts":["Invoices.xlsx"],"output_artifacts":["Invoices.xlsx"],"depends_on":[]}]</x:v>
      </x:c>
      <x:c r="R404" s="36" t="str">
        <x:v>[]</x:v>
      </x:c>
      <x:c r="S404" s="36" t="str">
        <x:v>create_invoice_count_pivot</x:v>
      </x:c>
      <x:c r="T404" s="36" t="str">
        <x:v>Invoices.xlsx</x:v>
      </x:c>
      <x:c r="U404" s="36" t="str">
        <x:v>retrieve_and_execute</x:v>
      </x:c>
      <x:c r="V404" s="36" t="str">
        <x:v>[{"point_id":"P1","description":"在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x:v>
      </x:c>
      <x:c r="W404" s="36" t="str">
        <x:v>1.00</x:v>
      </x:c>
      <x:c r="X404" s="39" t="str">
        <x:v>文件已经打开了，我要的是这套处理：在 Invoices.xlsx 新建 Sheet2，通过数据透视表统计每个 Invoice No. 出现的次数。</x:v>
      </x:c>
      <x:c r="Y404" s="39" t="str">
        <x:v>第1条记忆（中期/可复用模板）：在 Invoices.xlsx 新建 Sheet2，通过数据透视表统计每个 Invoice No. 出现的次数。关键约束：使用数据透视表；目标为 Sheet2；按 Invoice No. 分组计数。</x:v>
      </x:c>
      <x:c r="Z404" s="39" t="str">
        <x:v>不适用：当前题目不存在需要用户进一步选择的候选记忆。</x:v>
      </x:c>
      <x:c r="AA404" s="39" t="str">
        <x:v>第1条记忆（短期/工作流程）：在 EntireSummerSales.xlsx 新建 Sheet2，用数据透视表汇总每种 promotion type 的总 revenue，并将促销名称作为列标题。关键约束：使用数据透视表；促销名称作为列标题；结果放入 Sheet2。</x:v>
      </x:c>
      <x:c r="AB404" s="39" t="str">
        <x:v>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C404" s="39" t="str">
        <x:v>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x:v>
      </x:c>
      <x:c r="AD404" s="39" t="str">
        <x:v>用户的完整请求是：“文件已经打开了，我要的是这套处理：在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E404" s="39" t="str">
        <x:v>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4" s="50" t="str">
        <x:v>not_pass</x:v>
      </x:c>
      <x:c r="AG404" s="50" t="n">
        <x:v>0</x:v>
      </x:c>
    </x:row>
    <x:row r="405" ht="175.5" customHeight="1">
      <x:c r="A405" s="35" t="str">
        <x:v>V3_CF05_Q04</x:v>
      </x:c>
      <x:c r="B405" s="36" t="str">
        <x:v>SG_CONFLICT_CF05</x:v>
      </x:c>
      <x:c r="C405" s="36" t="str">
        <x:v>CF05</x:v>
      </x:c>
      <x:c r="D405" s="36" t="str">
        <x:v>发票计数与促销透视硬负例</x:v>
      </x:c>
      <x:c r="E405" s="36" t="str">
        <x:v>conflict_resolution</x:v>
      </x:c>
      <x:c r="F405" s="36" t="str">
        <x:v>low_overlap_paraphrase</x:v>
      </x:c>
      <x:c r="G405" s="36" t="str">
        <x:v>challenge</x:v>
      </x:c>
      <x:c r="H405" s="36" t="str">
        <x:v>困难</x:v>
      </x:c>
      <x:c r="I405" s="36" t="str">
        <x:v>1954cced-e748-45c4-9c26-9855b97fbc5e|1de60575-bb6e-4c3d-9e6a-2fa699f9f197</x:v>
      </x:c>
      <x:c r="J405" s="36" t="str">
        <x:v>CTX_1954cced-e748-45c4-9c26-9855b97fbc5e</x:v>
      </x:c>
      <x:c r="K405" s="36" t="str">
        <x:v>MTM_1954cced-e748-45c4-9c26-9855b97fbc5e</x:v>
      </x:c>
      <x:c r="L405" s="36" t="str"/>
      <x:c r="M405" s="36" t="str">
        <x:v>STM_1de60575-bb6e-4c3d-9e6a-2fa699f9f197</x:v>
      </x:c>
      <x:c r="N405" s="36" t="str">
        <x:v>可复用模板</x:v>
      </x:c>
      <x:c r="O405" s="36" t="str">
        <x:v>中期</x:v>
      </x:c>
      <x:c r="P405" s="36" t="str">
        <x:v>["libreoffice_calc"]</x:v>
      </x:c>
      <x:c r="Q405" s="36" t="str">
        <x:v>[{"step_id":"S1","app":"libreoffice_calc","action_key":"create_invoice_count_pivot","input_artifacts":["Invoices.xlsx"],"output_artifacts":["Invoices.xlsx"],"depends_on":[]}]</x:v>
      </x:c>
      <x:c r="R405" s="36" t="str">
        <x:v>[]</x:v>
      </x:c>
      <x:c r="S405" s="36" t="str">
        <x:v>create_invoice_count_pivot</x:v>
      </x:c>
      <x:c r="T405" s="36" t="str">
        <x:v>Invoices.xlsx</x:v>
      </x:c>
      <x:c r="U405" s="36" t="str">
        <x:v>retrieve_and_execute</x:v>
      </x:c>
      <x:c r="V405" s="36" t="str">
        <x:v>[{"point_id":"P1","description":"在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x:v>
      </x:c>
      <x:c r="W405" s="36" t="str">
        <x:v>1.00</x:v>
      </x:c>
      <x:c r="X405" s="39" t="str">
        <x:v>前面的相似方案先不要用，当前目标是：在 Invoices.xlsx 新建 Sheet2，通过数据透视表统计每个 Invoice No. 出现的次数。</x:v>
      </x:c>
      <x:c r="Y405" s="39" t="str">
        <x:v>第1条记忆（中期/可复用模板）：在 Invoices.xlsx 新建 Sheet2，通过数据透视表统计每个 Invoice No. 出现的次数。关键约束：使用数据透视表；目标为 Sheet2；按 Invoice No. 分组计数。</x:v>
      </x:c>
      <x:c r="Z405" s="39" t="str">
        <x:v>不适用：当前题目不存在需要用户进一步选择的候选记忆。</x:v>
      </x:c>
      <x:c r="AA405" s="39" t="str">
        <x:v>第1条记忆（短期/工作流程）：在 EntireSummerSales.xlsx 新建 Sheet2，用数据透视表汇总每种 promotion type 的总 revenue，并将促销名称作为列标题。关键约束：使用数据透视表；促销名称作为列标题；结果放入 Sheet2。</x:v>
      </x:c>
      <x:c r="AB405" s="39" t="str">
        <x:v>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C405" s="39" t="str">
        <x:v>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x:v>
      </x:c>
      <x:c r="AD405" s="39" t="str">
        <x:v>用户的完整请求是：“前面的相似方案先不要用，当前目标是：在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E405" s="39" t="str">
        <x:v>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5" s="50" t="str">
        <x:v>not_pass</x:v>
      </x:c>
      <x:c r="AG405" s="50" t="n">
        <x:v>0</x:v>
      </x:c>
    </x:row>
    <x:row r="406" ht="175.5" customHeight="1">
      <x:c r="A406" s="35" t="str">
        <x:v>V3_CF05_Q05</x:v>
      </x:c>
      <x:c r="B406" s="36" t="str">
        <x:v>SG_CONFLICT_CF05</x:v>
      </x:c>
      <x:c r="C406" s="36" t="str">
        <x:v>CF05</x:v>
      </x:c>
      <x:c r="D406" s="36" t="str">
        <x:v>发票计数与促销透视硬负例</x:v>
      </x:c>
      <x:c r="E406" s="36" t="str">
        <x:v>conflict_resolution</x:v>
      </x:c>
      <x:c r="F406" s="36" t="str">
        <x:v>human_constraint_emphasis</x:v>
      </x:c>
      <x:c r="G406" s="36" t="str">
        <x:v>challenge</x:v>
      </x:c>
      <x:c r="H406" s="36" t="str">
        <x:v>困难</x:v>
      </x:c>
      <x:c r="I406" s="36" t="str">
        <x:v>1954cced-e748-45c4-9c26-9855b97fbc5e|1de60575-bb6e-4c3d-9e6a-2fa699f9f197</x:v>
      </x:c>
      <x:c r="J406" s="36" t="str">
        <x:v>CTX_1954cced-e748-45c4-9c26-9855b97fbc5e</x:v>
      </x:c>
      <x:c r="K406" s="36" t="str">
        <x:v>MTM_1954cced-e748-45c4-9c26-9855b97fbc5e</x:v>
      </x:c>
      <x:c r="L406" s="36" t="str"/>
      <x:c r="M406" s="36" t="str">
        <x:v>STM_1de60575-bb6e-4c3d-9e6a-2fa699f9f197</x:v>
      </x:c>
      <x:c r="N406" s="36" t="str">
        <x:v>可复用模板</x:v>
      </x:c>
      <x:c r="O406" s="36" t="str">
        <x:v>中期</x:v>
      </x:c>
      <x:c r="P406" s="36" t="str">
        <x:v>["libreoffice_calc"]</x:v>
      </x:c>
      <x:c r="Q406" s="36" t="str">
        <x:v>[{"step_id":"S1","app":"libreoffice_calc","action_key":"create_invoice_count_pivot","input_artifacts":["Invoices.xlsx"],"output_artifacts":["Invoices.xlsx"],"depends_on":[]}]</x:v>
      </x:c>
      <x:c r="R406" s="36" t="str">
        <x:v>[]</x:v>
      </x:c>
      <x:c r="S406" s="36" t="str">
        <x:v>create_invoice_count_pivot</x:v>
      </x:c>
      <x:c r="T406" s="36" t="str">
        <x:v>Invoices.xlsx</x:v>
      </x:c>
      <x:c r="U406" s="36" t="str">
        <x:v>retrieve_and_execute</x:v>
      </x:c>
      <x:c r="V406" s="36" t="str">
        <x:v>[{"point_id":"P1","description":"在 Invoices.xlsx 新建 Sheet2，通过数据透视表统计每个 Invoice No. 出现的次数。","weight":0.8,"evidence_memory_ids":["MTM_1954cced-e748-45c4-9c26-9855b97fbc5e"]},{"point_id":"P2","description":"不采用禁止记忆中的冲突操作，且不让错误方案替代必需结论","weight":0.2,"evidence_memory_ids":["MTM_1954cced-e748-45c4-9c26-9855b97fbc5e","STM_1de60575-bb6e-4c3d-9e6a-2fa699f9f197"]}]</x:v>
      </x:c>
      <x:c r="W406" s="36" t="str">
        <x:v>1.00</x:v>
      </x:c>
      <x:c r="X406" s="39" t="str">
        <x:v>为了避免选错历史记录，我把要求再说一遍：在 Invoices.xlsx 新建 Sheet2，通过数据透视表统计每个 Invoice No. 出现的次数。</x:v>
      </x:c>
      <x:c r="Y406" s="39" t="str">
        <x:v>第1条记忆（中期/可复用模板）：在 Invoices.xlsx 新建 Sheet2，通过数据透视表统计每个 Invoice No. 出现的次数。关键约束：使用数据透视表；目标为 Sheet2；按 Invoice No. 分组计数。</x:v>
      </x:c>
      <x:c r="Z406" s="39" t="str">
        <x:v>不适用：当前题目不存在需要用户进一步选择的候选记忆。</x:v>
      </x:c>
      <x:c r="AA406" s="39" t="str">
        <x:v>第1条记忆（短期/工作流程）：在 EntireSummerSales.xlsx 新建 Sheet2，用数据透视表汇总每种 promotion type 的总 revenue，并将促销名称作为列标题。关键约束：使用数据透视表；促销名称作为列标题；结果放入 Sheet2。</x:v>
      </x:c>
      <x:c r="AB406" s="39" t="str">
        <x:v>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C406" s="39" t="str">
        <x:v>第1项实际操作：在 Invoices.xlsx 新建 Sheet2，通过数据透视表统计每个 Invoice No. 出现的次数。执行时必须满足：使用数据透视表；目标为 Sheet2；按 Invoice No. 分组计数。 第1项禁止操作：在 EntireSummerSales.xlsx 新建 Sheet2，用数据透视表汇总每种 promotion type 的总 revenue，并将促销名称作为列标题。该操作不得替代或混入当前执行结果。</x:v>
      </x:c>
      <x:c r="AD406" s="39" t="str">
        <x:v>用户的完整请求是：“为了避免选错历史记录，我把要求再说一遍：在 Invoices.xlsx 新建 Sheet2，通过数据透视表统计每个 Invoice No. 出现的次数。” 第1个当前上下文：Invoices.xlsx 已在 LibreOffice Calc 中打开。 与当前请求一致、应当调用的完整记忆如下：
第1条记忆（中期/可复用模板）：在 Invoices.xlsx 新建 Sheet2，通过数据透视表统计每个 Invoice No. 出现的次数。关键约束：使用数据透视表；目标为 Sheet2；按 Invoice No. 分组计数。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Invoices.xlsx 新建 Sheet2，通过数据透视表统计每个 Invoice No. 出现的次数。同时明确不得采用以下相似但不符合当前要求的方案：在 EntireSummerSales.xlsx 新建 Sheet2，用数据透视表汇总每种 promotion type 的总 revenue，并将促销名称作为列标题。”</x:v>
      </x:c>
      <x:c r="AE406" s="39" t="str">
        <x:v>本题总分为 1.00 分，各得分点独立累计，允许语义等价表达，不要求模型输出记忆 ID，也不要求逐字复述记忆原文。
第1个得分点（0.80分）：在 Invoices.xlsx 新建 Sheet2，通过数据透视表统计每个 Invoice No. 出现的次数。该得分点所依据的完整证据为：
第1条记忆（中期/可复用模板）：在 Invoices.xlsx 新建 Sheet2，通过数据透视表统计每个 Invoice No. 出现的次数。关键约束：使用数据透视表；目标为 Sheet2；按 Invoice No. 分组计数。
第2个得分点（0.20分）：不采用禁止记忆中的冲突操作，且不让错误方案替代必需结论。该得分点所依据的完整证据为：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6" s="50" t="str">
        <x:v>not_pass</x:v>
      </x:c>
      <x:c r="AG406" s="50" t="n">
        <x:v>0</x:v>
      </x:c>
    </x:row>
    <x:row r="407" ht="175.5" customHeight="1">
      <x:c r="A407" s="35" t="str">
        <x:v>V3_CF06_Q01</x:v>
      </x:c>
      <x:c r="B407" s="36" t="str">
        <x:v>SG_CONFLICT_CF06</x:v>
      </x:c>
      <x:c r="C407" s="36" t="str">
        <x:v>CF06</x:v>
      </x:c>
      <x:c r="D407" s="36" t="str">
        <x:v>产品渠道与促销透视硬负例</x:v>
      </x:c>
      <x:c r="E407" s="36" t="str">
        <x:v>conflict_resolution</x:v>
      </x:c>
      <x:c r="F407" s="36" t="str">
        <x:v>human_context_explicit</x:v>
      </x:c>
      <x:c r="G407" s="36" t="str">
        <x:v>challenge</x:v>
      </x:c>
      <x:c r="H407" s="36" t="str">
        <x:v>困难</x:v>
      </x:c>
      <x:c r="I407" s="36" t="str">
        <x:v>535364ea-05bd-46ea-9937-9f55c68507e8|1de60575-bb6e-4c3d-9e6a-2fa699f9f197</x:v>
      </x:c>
      <x:c r="J407" s="36" t="str">
        <x:v>CTX_535364ea-05bd-46ea-9937-9f55c68507e8</x:v>
      </x:c>
      <x:c r="K407" s="36" t="str">
        <x:v>LTM_535364ea-05bd-46ea-9937-9f55c68507e8</x:v>
      </x:c>
      <x:c r="L407" s="36" t="str"/>
      <x:c r="M407" s="36" t="str">
        <x:v>STM_1de60575-bb6e-4c3d-9e6a-2fa699f9f197</x:v>
      </x:c>
      <x:c r="N407" s="36" t="str">
        <x:v>可复用模板</x:v>
      </x:c>
      <x:c r="O407" s="36" t="str">
        <x:v>长期</x:v>
      </x:c>
      <x:c r="P407" s="36" t="str">
        <x:v>["libreoffice_calc"]</x:v>
      </x:c>
      <x:c r="Q407" s="36" t="str">
        <x:v>[{"step_id":"S1","app":"libreoffice_calc","action_key":"create_product_and_channel_revenue_pivots","input_artifacts":["SummerSales.xlsx"],"output_artifacts":["SummerSales.xlsx"],"depends_on":[]}]</x:v>
      </x:c>
      <x:c r="R407" s="36" t="str">
        <x:v>[]</x:v>
      </x:c>
      <x:c r="S407" s="36" t="str">
        <x:v>create_product_and_channel_revenue_pivots</x:v>
      </x:c>
      <x:c r="T407" s="36" t="str">
        <x:v>SummerSales.xlsx</x:v>
      </x:c>
      <x:c r="U407" s="36" t="str">
        <x:v>retrieve_and_execute</x:v>
      </x:c>
      <x:c r="V407" s="36" t="str">
        <x:v>[{"point_id":"P1","description":"在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x:v>
      </x:c>
      <x:c r="W407" s="36" t="str">
        <x:v>1.00</x:v>
      </x:c>
      <x:c r="X407" s="39" t="str">
        <x:v>我正在处理这份表，按之前确认的这一版来：在 SummerSales.xlsx 新建 Sheet2，创建两张数据透视表，分别汇总每种产品的总收入和每个销售渠道的总收入。</x:v>
      </x:c>
      <x:c r="Y407" s="39" t="str">
        <x:v>第1条记忆（长期/可复用模板）：在 SummerSales.xlsx 新建 Sheet2，创建两张数据透视表，分别汇总每种产品的总收入和每个销售渠道的总收入。关键约束：必须有两张透视表；分别按产品和销售渠道汇总；目标为 Sheet2。</x:v>
      </x:c>
      <x:c r="Z407" s="39" t="str">
        <x:v>不适用：当前题目不存在需要用户进一步选择的候选记忆。</x:v>
      </x:c>
      <x:c r="AA407" s="39" t="str">
        <x:v>第1条记忆（短期/工作流程）：在 EntireSummerSales.xlsx 新建 Sheet2，用数据透视表汇总每种 promotion type 的总 revenue，并将促销名称作为列标题。关键约束：使用数据透视表；促销名称作为列标题；结果放入 Sheet2。</x:v>
      </x:c>
      <x:c r="AB407" s="39" t="str">
        <x:v>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C407" s="39" t="str">
        <x:v>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x:v>
      </x:c>
      <x:c r="AD407" s="39" t="str">
        <x:v>用户的完整请求是：“我正在处理这份表，按之前确认的这一版来：在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E407" s="39" t="str">
        <x:v>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7" s="50" t="str">
        <x:v>not_pass</x:v>
      </x:c>
      <x:c r="AG407" s="50" t="n">
        <x:v>0</x:v>
      </x:c>
    </x:row>
    <x:row r="408" ht="175.5" customHeight="1">
      <x:c r="A408" s="35" t="str">
        <x:v>V3_CF06_Q02</x:v>
      </x:c>
      <x:c r="B408" s="36" t="str">
        <x:v>SG_CONFLICT_CF06</x:v>
      </x:c>
      <x:c r="C408" s="36" t="str">
        <x:v>CF06</x:v>
      </x:c>
      <x:c r="D408" s="36" t="str">
        <x:v>产品渠道与促销透视硬负例</x:v>
      </x:c>
      <x:c r="E408" s="36" t="str">
        <x:v>conflict_resolution</x:v>
      </x:c>
      <x:c r="F408" s="36" t="str">
        <x:v>human_goal_oriented</x:v>
      </x:c>
      <x:c r="G408" s="36" t="str">
        <x:v>challenge</x:v>
      </x:c>
      <x:c r="H408" s="36" t="str">
        <x:v>困难</x:v>
      </x:c>
      <x:c r="I408" s="36" t="str">
        <x:v>535364ea-05bd-46ea-9937-9f55c68507e8|1de60575-bb6e-4c3d-9e6a-2fa699f9f197</x:v>
      </x:c>
      <x:c r="J408" s="36" t="str">
        <x:v>CTX_535364ea-05bd-46ea-9937-9f55c68507e8</x:v>
      </x:c>
      <x:c r="K408" s="36" t="str">
        <x:v>LTM_535364ea-05bd-46ea-9937-9f55c68507e8</x:v>
      </x:c>
      <x:c r="L408" s="36" t="str"/>
      <x:c r="M408" s="36" t="str">
        <x:v>STM_1de60575-bb6e-4c3d-9e6a-2fa699f9f197</x:v>
      </x:c>
      <x:c r="N408" s="36" t="str">
        <x:v>可复用模板</x:v>
      </x:c>
      <x:c r="O408" s="36" t="str">
        <x:v>长期</x:v>
      </x:c>
      <x:c r="P408" s="36" t="str">
        <x:v>["libreoffice_calc"]</x:v>
      </x:c>
      <x:c r="Q408" s="36" t="str">
        <x:v>[{"step_id":"S1","app":"libreoffice_calc","action_key":"create_product_and_channel_revenue_pivots","input_artifacts":["SummerSales.xlsx"],"output_artifacts":["SummerSales.xlsx"],"depends_on":[]}]</x:v>
      </x:c>
      <x:c r="R408" s="36" t="str">
        <x:v>[]</x:v>
      </x:c>
      <x:c r="S408" s="36" t="str">
        <x:v>create_product_and_channel_revenue_pivots</x:v>
      </x:c>
      <x:c r="T408" s="36" t="str">
        <x:v>SummerSales.xlsx</x:v>
      </x:c>
      <x:c r="U408" s="36" t="str">
        <x:v>retrieve_and_execute</x:v>
      </x:c>
      <x:c r="V408" s="36" t="str">
        <x:v>[{"point_id":"P1","description":"在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x:v>
      </x:c>
      <x:c r="W408" s="36" t="str">
        <x:v>1.00</x:v>
      </x:c>
      <x:c r="X408" s="39" t="str">
        <x:v>这次只做下面这个结果，别套用相似任务的做法：在 SummerSales.xlsx 新建 Sheet2，创建两张数据透视表，分别汇总每种产品的总收入和每个销售渠道的总收入。</x:v>
      </x:c>
      <x:c r="Y408" s="39" t="str">
        <x:v>第1条记忆（长期/可复用模板）：在 SummerSales.xlsx 新建 Sheet2，创建两张数据透视表，分别汇总每种产品的总收入和每个销售渠道的总收入。关键约束：必须有两张透视表；分别按产品和销售渠道汇总；目标为 Sheet2。</x:v>
      </x:c>
      <x:c r="Z408" s="39" t="str">
        <x:v>不适用：当前题目不存在需要用户进一步选择的候选记忆。</x:v>
      </x:c>
      <x:c r="AA408" s="39" t="str">
        <x:v>第1条记忆（短期/工作流程）：在 EntireSummerSales.xlsx 新建 Sheet2，用数据透视表汇总每种 promotion type 的总 revenue，并将促销名称作为列标题。关键约束：使用数据透视表；促销名称作为列标题；结果放入 Sheet2。</x:v>
      </x:c>
      <x:c r="AB408" s="39" t="str">
        <x:v>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C408" s="39" t="str">
        <x:v>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x:v>
      </x:c>
      <x:c r="AD408" s="39" t="str">
        <x:v>用户的完整请求是：“这次只做下面这个结果，别套用相似任务的做法：在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E408" s="39" t="str">
        <x:v>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8" s="50" t="str">
        <x:v>not_pass</x:v>
      </x:c>
      <x:c r="AG408" s="50" t="n">
        <x:v>0</x:v>
      </x:c>
    </x:row>
    <x:row r="409" ht="175.5" customHeight="1">
      <x:c r="A409" s="35" t="str">
        <x:v>V3_CF06_Q03</x:v>
      </x:c>
      <x:c r="B409" s="36" t="str">
        <x:v>SG_CONFLICT_CF06</x:v>
      </x:c>
      <x:c r="C409" s="36" t="str">
        <x:v>CF06</x:v>
      </x:c>
      <x:c r="D409" s="36" t="str">
        <x:v>产品渠道与促销透视硬负例</x:v>
      </x:c>
      <x:c r="E409" s="36" t="str">
        <x:v>conflict_resolution</x:v>
      </x:c>
      <x:c r="F409" s="36" t="str">
        <x:v>contextual_ellipsis</x:v>
      </x:c>
      <x:c r="G409" s="36" t="str">
        <x:v>challenge</x:v>
      </x:c>
      <x:c r="H409" s="36" t="str">
        <x:v>困难</x:v>
      </x:c>
      <x:c r="I409" s="36" t="str">
        <x:v>535364ea-05bd-46ea-9937-9f55c68507e8|1de60575-bb6e-4c3d-9e6a-2fa699f9f197</x:v>
      </x:c>
      <x:c r="J409" s="36" t="str">
        <x:v>CTX_535364ea-05bd-46ea-9937-9f55c68507e8</x:v>
      </x:c>
      <x:c r="K409" s="36" t="str">
        <x:v>LTM_535364ea-05bd-46ea-9937-9f55c68507e8</x:v>
      </x:c>
      <x:c r="L409" s="36" t="str"/>
      <x:c r="M409" s="36" t="str">
        <x:v>STM_1de60575-bb6e-4c3d-9e6a-2fa699f9f197</x:v>
      </x:c>
      <x:c r="N409" s="36" t="str">
        <x:v>可复用模板</x:v>
      </x:c>
      <x:c r="O409" s="36" t="str">
        <x:v>长期</x:v>
      </x:c>
      <x:c r="P409" s="36" t="str">
        <x:v>["libreoffice_calc"]</x:v>
      </x:c>
      <x:c r="Q409" s="36" t="str">
        <x:v>[{"step_id":"S1","app":"libreoffice_calc","action_key":"create_product_and_channel_revenue_pivots","input_artifacts":["SummerSales.xlsx"],"output_artifacts":["SummerSales.xlsx"],"depends_on":[]}]</x:v>
      </x:c>
      <x:c r="R409" s="36" t="str">
        <x:v>[]</x:v>
      </x:c>
      <x:c r="S409" s="36" t="str">
        <x:v>create_product_and_channel_revenue_pivots</x:v>
      </x:c>
      <x:c r="T409" s="36" t="str">
        <x:v>SummerSales.xlsx</x:v>
      </x:c>
      <x:c r="U409" s="36" t="str">
        <x:v>retrieve_and_execute</x:v>
      </x:c>
      <x:c r="V409" s="36" t="str">
        <x:v>[{"point_id":"P1","description":"在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x:v>
      </x:c>
      <x:c r="W409" s="36" t="str">
        <x:v>1.00</x:v>
      </x:c>
      <x:c r="X409" s="39" t="str">
        <x:v>文件已经打开了，我要的是这套处理：在 SummerSales.xlsx 新建 Sheet2，创建两张数据透视表，分别汇总每种产品的总收入和每个销售渠道的总收入。</x:v>
      </x:c>
      <x:c r="Y409" s="39" t="str">
        <x:v>第1条记忆（长期/可复用模板）：在 SummerSales.xlsx 新建 Sheet2，创建两张数据透视表，分别汇总每种产品的总收入和每个销售渠道的总收入。关键约束：必须有两张透视表；分别按产品和销售渠道汇总；目标为 Sheet2。</x:v>
      </x:c>
      <x:c r="Z409" s="39" t="str">
        <x:v>不适用：当前题目不存在需要用户进一步选择的候选记忆。</x:v>
      </x:c>
      <x:c r="AA409" s="39" t="str">
        <x:v>第1条记忆（短期/工作流程）：在 EntireSummerSales.xlsx 新建 Sheet2，用数据透视表汇总每种 promotion type 的总 revenue，并将促销名称作为列标题。关键约束：使用数据透视表；促销名称作为列标题；结果放入 Sheet2。</x:v>
      </x:c>
      <x:c r="AB409" s="39" t="str">
        <x:v>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C409" s="39" t="str">
        <x:v>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x:v>
      </x:c>
      <x:c r="AD409" s="39" t="str">
        <x:v>用户的完整请求是：“文件已经打开了，我要的是这套处理：在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E409" s="39" t="str">
        <x:v>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09" s="50" t="str">
        <x:v>not_pass</x:v>
      </x:c>
      <x:c r="AG409" s="50" t="n">
        <x:v>0</x:v>
      </x:c>
    </x:row>
    <x:row r="410" ht="175.5" customHeight="1">
      <x:c r="A410" s="35" t="str">
        <x:v>V3_CF06_Q04</x:v>
      </x:c>
      <x:c r="B410" s="36" t="str">
        <x:v>SG_CONFLICT_CF06</x:v>
      </x:c>
      <x:c r="C410" s="36" t="str">
        <x:v>CF06</x:v>
      </x:c>
      <x:c r="D410" s="36" t="str">
        <x:v>产品渠道与促销透视硬负例</x:v>
      </x:c>
      <x:c r="E410" s="36" t="str">
        <x:v>conflict_resolution</x:v>
      </x:c>
      <x:c r="F410" s="36" t="str">
        <x:v>low_overlap_paraphrase</x:v>
      </x:c>
      <x:c r="G410" s="36" t="str">
        <x:v>challenge</x:v>
      </x:c>
      <x:c r="H410" s="36" t="str">
        <x:v>困难</x:v>
      </x:c>
      <x:c r="I410" s="36" t="str">
        <x:v>535364ea-05bd-46ea-9937-9f55c68507e8|1de60575-bb6e-4c3d-9e6a-2fa699f9f197</x:v>
      </x:c>
      <x:c r="J410" s="36" t="str">
        <x:v>CTX_535364ea-05bd-46ea-9937-9f55c68507e8</x:v>
      </x:c>
      <x:c r="K410" s="36" t="str">
        <x:v>LTM_535364ea-05bd-46ea-9937-9f55c68507e8</x:v>
      </x:c>
      <x:c r="L410" s="36" t="str"/>
      <x:c r="M410" s="36" t="str">
        <x:v>STM_1de60575-bb6e-4c3d-9e6a-2fa699f9f197</x:v>
      </x:c>
      <x:c r="N410" s="36" t="str">
        <x:v>可复用模板</x:v>
      </x:c>
      <x:c r="O410" s="36" t="str">
        <x:v>长期</x:v>
      </x:c>
      <x:c r="P410" s="36" t="str">
        <x:v>["libreoffice_calc"]</x:v>
      </x:c>
      <x:c r="Q410" s="36" t="str">
        <x:v>[{"step_id":"S1","app":"libreoffice_calc","action_key":"create_product_and_channel_revenue_pivots","input_artifacts":["SummerSales.xlsx"],"output_artifacts":["SummerSales.xlsx"],"depends_on":[]}]</x:v>
      </x:c>
      <x:c r="R410" s="36" t="str">
        <x:v>[]</x:v>
      </x:c>
      <x:c r="S410" s="36" t="str">
        <x:v>create_product_and_channel_revenue_pivots</x:v>
      </x:c>
      <x:c r="T410" s="36" t="str">
        <x:v>SummerSales.xlsx</x:v>
      </x:c>
      <x:c r="U410" s="36" t="str">
        <x:v>retrieve_and_execute</x:v>
      </x:c>
      <x:c r="V410" s="36" t="str">
        <x:v>[{"point_id":"P1","description":"在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x:v>
      </x:c>
      <x:c r="W410" s="36" t="str">
        <x:v>1.00</x:v>
      </x:c>
      <x:c r="X410" s="39" t="str">
        <x:v>前面的相似方案先不要用，当前目标是：在 SummerSales.xlsx 新建 Sheet2，创建两张数据透视表，分别汇总每种产品的总收入和每个销售渠道的总收入。</x:v>
      </x:c>
      <x:c r="Y410" s="39" t="str">
        <x:v>第1条记忆（长期/可复用模板）：在 SummerSales.xlsx 新建 Sheet2，创建两张数据透视表，分别汇总每种产品的总收入和每个销售渠道的总收入。关键约束：必须有两张透视表；分别按产品和销售渠道汇总；目标为 Sheet2。</x:v>
      </x:c>
      <x:c r="Z410" s="39" t="str">
        <x:v>不适用：当前题目不存在需要用户进一步选择的候选记忆。</x:v>
      </x:c>
      <x:c r="AA410" s="39" t="str">
        <x:v>第1条记忆（短期/工作流程）：在 EntireSummerSales.xlsx 新建 Sheet2，用数据透视表汇总每种 promotion type 的总 revenue，并将促销名称作为列标题。关键约束：使用数据透视表；促销名称作为列标题；结果放入 Sheet2。</x:v>
      </x:c>
      <x:c r="AB410" s="39" t="str">
        <x:v>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C410" s="39" t="str">
        <x:v>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x:v>
      </x:c>
      <x:c r="AD410" s="39" t="str">
        <x:v>用户的完整请求是：“前面的相似方案先不要用，当前目标是：在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E410" s="39" t="str">
        <x:v>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10" s="50" t="str">
        <x:v>not_pass</x:v>
      </x:c>
      <x:c r="AG410" s="50" t="n">
        <x:v>0</x:v>
      </x:c>
    </x:row>
    <x:row r="411" ht="175.5" customHeight="1">
      <x:c r="A411" s="35" t="str">
        <x:v>V3_CF06_Q05</x:v>
      </x:c>
      <x:c r="B411" s="36" t="str">
        <x:v>SG_CONFLICT_CF06</x:v>
      </x:c>
      <x:c r="C411" s="36" t="str">
        <x:v>CF06</x:v>
      </x:c>
      <x:c r="D411" s="36" t="str">
        <x:v>产品渠道与促销透视硬负例</x:v>
      </x:c>
      <x:c r="E411" s="36" t="str">
        <x:v>conflict_resolution</x:v>
      </x:c>
      <x:c r="F411" s="36" t="str">
        <x:v>human_constraint_emphasis</x:v>
      </x:c>
      <x:c r="G411" s="36" t="str">
        <x:v>challenge</x:v>
      </x:c>
      <x:c r="H411" s="36" t="str">
        <x:v>困难</x:v>
      </x:c>
      <x:c r="I411" s="36" t="str">
        <x:v>535364ea-05bd-46ea-9937-9f55c68507e8|1de60575-bb6e-4c3d-9e6a-2fa699f9f197</x:v>
      </x:c>
      <x:c r="J411" s="36" t="str">
        <x:v>CTX_535364ea-05bd-46ea-9937-9f55c68507e8</x:v>
      </x:c>
      <x:c r="K411" s="36" t="str">
        <x:v>LTM_535364ea-05bd-46ea-9937-9f55c68507e8</x:v>
      </x:c>
      <x:c r="L411" s="36" t="str"/>
      <x:c r="M411" s="36" t="str">
        <x:v>STM_1de60575-bb6e-4c3d-9e6a-2fa699f9f197</x:v>
      </x:c>
      <x:c r="N411" s="36" t="str">
        <x:v>可复用模板</x:v>
      </x:c>
      <x:c r="O411" s="36" t="str">
        <x:v>长期</x:v>
      </x:c>
      <x:c r="P411" s="36" t="str">
        <x:v>["libreoffice_calc"]</x:v>
      </x:c>
      <x:c r="Q411" s="36" t="str">
        <x:v>[{"step_id":"S1","app":"libreoffice_calc","action_key":"create_product_and_channel_revenue_pivots","input_artifacts":["SummerSales.xlsx"],"output_artifacts":["SummerSales.xlsx"],"depends_on":[]}]</x:v>
      </x:c>
      <x:c r="R411" s="36" t="str">
        <x:v>[]</x:v>
      </x:c>
      <x:c r="S411" s="36" t="str">
        <x:v>create_product_and_channel_revenue_pivots</x:v>
      </x:c>
      <x:c r="T411" s="36" t="str">
        <x:v>SummerSales.xlsx</x:v>
      </x:c>
      <x:c r="U411" s="36" t="str">
        <x:v>retrieve_and_execute</x:v>
      </x:c>
      <x:c r="V411" s="36" t="str">
        <x:v>[{"point_id":"P1","description":"在 SummerSales.xlsx 新建 Sheet2，创建两张数据透视表，分别汇总每种产品的总收入和每个销售渠道的总收入。","weight":0.8,"evidence_memory_ids":["LTM_535364ea-05bd-46ea-9937-9f55c68507e8"]},{"point_id":"P2","description":"不采用禁止记忆中的冲突操作，且不让错误方案替代必需结论","weight":0.2,"evidence_memory_ids":["LTM_535364ea-05bd-46ea-9937-9f55c68507e8","STM_1de60575-bb6e-4c3d-9e6a-2fa699f9f197"]}]</x:v>
      </x:c>
      <x:c r="W411" s="36" t="str">
        <x:v>1.00</x:v>
      </x:c>
      <x:c r="X411" s="39" t="str">
        <x:v>为了避免选错历史记录，我把要求再说一遍：在 SummerSales.xlsx 新建 Sheet2，创建两张数据透视表，分别汇总每种产品的总收入和每个销售渠道的总收入。</x:v>
      </x:c>
      <x:c r="Y411" s="39" t="str">
        <x:v>第1条记忆（长期/可复用模板）：在 SummerSales.xlsx 新建 Sheet2，创建两张数据透视表，分别汇总每种产品的总收入和每个销售渠道的总收入。关键约束：必须有两张透视表；分别按产品和销售渠道汇总；目标为 Sheet2。</x:v>
      </x:c>
      <x:c r="Z411" s="39" t="str">
        <x:v>不适用：当前题目不存在需要用户进一步选择的候选记忆。</x:v>
      </x:c>
      <x:c r="AA411" s="39" t="str">
        <x:v>第1条记忆（短期/工作流程）：在 EntireSummerSales.xlsx 新建 Sheet2，用数据透视表汇总每种 promotion type 的总 revenue，并将促销名称作为列标题。关键约束：使用数据透视表；促销名称作为列标题；结果放入 Sheet2。</x:v>
      </x:c>
      <x:c r="AB411" s="39" t="str">
        <x:v>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C411" s="39" t="str">
        <x:v>第1项实际操作：在 SummerSales.xlsx 新建 Sheet2，创建两张数据透视表，分别汇总每种产品的总收入和每个销售渠道的总收入。执行时必须满足：必须有两张透视表；分别按产品和销售渠道汇总；目标为 Sheet2。 第1项禁止操作：在 EntireSummerSales.xlsx 新建 Sheet2，用数据透视表汇总每种 promotion type 的总 revenue，并将促销名称作为列标题。该操作不得替代或混入当前执行结果。</x:v>
      </x:c>
      <x:c r="AD411" s="39" t="str">
        <x:v>用户的完整请求是：“为了避免选错历史记录，我把要求再说一遍：在 SummerSales.xlsx 新建 Sheet2，创建两张数据透视表，分别汇总每种产品的总收入和每个销售渠道的总收入。” 第1个当前上下文：SummerSales.xlsx 已在 LibreOffice Calc 中打开。 与当前请求一致、应当调用的完整记忆如下：
第1条记忆（长期/可复用模板）：在 SummerSales.xlsx 新建 Sheet2，创建两张数据透视表，分别汇总每种产品的总收入和每个销售渠道的总收入。关键约束：必须有两张透视表；分别按产品和销售渠道汇总；目标为 Sheet2。
这些记忆描述的目标文件、操作对象、处理方式和输出结果与 Query 中明确表达的当前要求一致。与此同时，记忆库中还存在以下容易造成误检的完整禁止记忆：
第1条记忆（短期/工作流程）：在 EntireSummerSales.xlsx 新建 Sheet2，用数据透视表汇总每种 promotion type 的总 revenue，并将促销名称作为列标题。关键约束：使用数据透视表；促销名称作为列标题；结果放入 Sheet2。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SummerSales.xlsx 新建 Sheet2，创建两张数据透视表，分别汇总每种产品的总收入和每个销售渠道的总收入。同时明确不得采用以下相似但不符合当前要求的方案：在 EntireSummerSales.xlsx 新建 Sheet2，用数据透视表汇总每种 promotion type 的总 revenue，并将促销名称作为列标题。”</x:v>
      </x:c>
      <x:c r="AE411" s="39" t="str">
        <x:v>本题总分为 1.00 分，各得分点独立累计，允许语义等价表达，不要求模型输出记忆 ID，也不要求逐字复述记忆原文。
第1个得分点（0.80分）：在 SummerSales.xlsx 新建 Sheet2，创建两张数据透视表，分别汇总每种产品的总收入和每个销售渠道的总收入。该得分点所依据的完整证据为：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第2个得分点（0.20分）：不采用禁止记忆中的冲突操作，且不让错误方案替代必需结论。该得分点所依据的完整证据为：
第1条记忆（长期/可复用模板）：在 SummerSales.xlsx 新建 Sheet2，创建两张数据透视表，分别汇总每种产品的总收入和每个销售渠道的总收入。关键约束：必须有两张透视表；分别按产品和销售渠道汇总；目标为 Sheet2。
第2条记忆（短期/工作流程）：在 EntireSummerSales.xlsx 新建 Sheet2，用数据透视表汇总每种 promotion type 的总 revenue，并将促销名称作为列标题。关键约束：使用数据透视表；促销名称作为列标题；结果放入 Sheet2。
人工复审时，应依据模型最终给出的信息和实际操作是否满足上述每个得分点分别给分；只命中记忆 ID 但没有形成对应结论不能获得该结论分，形成了正确结论但表达方式不同则不应扣分。</x:v>
      </x:c>
      <x:c r="AF411" s="50" t="str">
        <x:v>not_pass</x:v>
      </x:c>
      <x:c r="AG411" s="50" t="n">
        <x:v>0</x:v>
      </x:c>
    </x:row>
    <x:row r="412" ht="175.5" customHeight="1">
      <x:c r="A412" s="35" t="str">
        <x:v>V3_CF07_Q01</x:v>
      </x:c>
      <x:c r="B412" s="36" t="str">
        <x:v>SG_CONFLICT_CF07</x:v>
      </x:c>
      <x:c r="C412" s="36" t="str">
        <x:v>CF07</x:v>
      </x:c>
      <x:c r="D412" s="36" t="str">
        <x:v>两位小数与分隔符硬负例</x:v>
      </x:c>
      <x:c r="E412" s="36" t="str">
        <x:v>conflict_resolution</x:v>
      </x:c>
      <x:c r="F412" s="36" t="str">
        <x:v>human_context_explicit</x:v>
      </x:c>
      <x:c r="G412" s="36" t="str">
        <x:v>challenge</x:v>
      </x:c>
      <x:c r="H412" s="36" t="str">
        <x:v>困难</x:v>
      </x:c>
      <x:c r="I412" s="36" t="str">
        <x:v>6e99a1ad-07d2-4b66-a1ce-ece6d99c20a5|a01fbce3-2793-461f-ab86-43680ccbae25</x:v>
      </x:c>
      <x:c r="J412" s="36" t="str">
        <x:v>CTX_6e99a1ad-07d2-4b66-a1ce-ece6d99c20a5</x:v>
      </x:c>
      <x:c r="K412" s="36" t="str">
        <x:v>MTM_6e99a1ad-07d2-4b66-a1ce-ece6d99c20a5</x:v>
      </x:c>
      <x:c r="L412" s="36" t="str"/>
      <x:c r="M412" s="36" t="str">
        <x:v>STM_a01fbce3-2793-461f-ab86-43680ccbae25</x:v>
      </x:c>
      <x:c r="N412" s="36" t="str">
        <x:v>可复用模板</x:v>
      </x:c>
      <x:c r="O412" s="36" t="str">
        <x:v>中期</x:v>
      </x:c>
      <x:c r="P412" s="36" t="str">
        <x:v>["libreoffice_calc"]</x:v>
      </x:c>
      <x:c r="Q412" s="36" t="str">
        <x:v>[{"step_id":"S1","app":"libreoffice_calc","action_key":"format_spent_two_decimals","input_artifacts":["Keep_Two_decimal_points.xlsx"],"output_artifacts":["[\"Keep_Two_decimal_points.xlsx\",\"Keep_Two_decimal_points-Sheet1.csv\"]"],"depends_on":[]}]</x:v>
      </x:c>
      <x:c r="R412" s="36" t="str">
        <x:v>[]</x:v>
      </x:c>
      <x:c r="S412" s="36" t="str">
        <x:v>format_spent_two_decimals</x:v>
      </x:c>
      <x:c r="T412" s="36" t="str">
        <x:v>Keep_Two_decimal_points.xlsx</x:v>
      </x:c>
      <x:c r="U412" s="36" t="str">
        <x:v>retrieve_and_execute</x:v>
      </x:c>
      <x:c r="V412" s="36" t="str">
        <x:v>[{"point_id":"P1","description":"在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x:v>
      </x:c>
      <x:c r="W412" s="36" t="str">
        <x:v>1.00</x:v>
      </x:c>
      <x:c r="X412" s="39" t="str">
        <x:v>我正在处理这份表，按之前确认的这一版来：在 Keep_Two_decimal_points.xlsx 中把 spent 列的显示格式统一设置为保留两位小数。</x:v>
      </x:c>
      <x:c r="Y412" s="39" t="str">
        <x:v>第1条记忆（中期/可复用模板）：在 Keep_Two_decimal_points.xlsx 中把 spent 列的显示格式统一设置为保留两位小数。关键约束：只格式化 spent 列；固定显示两位小数；不改变原数值。</x:v>
      </x:c>
      <x:c r="Z412" s="39" t="str">
        <x:v>不适用：当前题目不存在需要用户进一步选择的候选记忆。</x:v>
      </x:c>
      <x:c r="AA412"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B412" s="39" t="str">
        <x:v>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C412" s="39" t="str">
        <x:v>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x:v>
      </x:c>
      <x:c r="AD412" s="39" t="str">
        <x:v>用户的完整请求是：“我正在处理这份表，按之前确认的这一版来：在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E412" s="39" t="str">
        <x:v>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12" s="50" t="str">
        <x:v>not_pass</x:v>
      </x:c>
      <x:c r="AG412" s="50" t="n">
        <x:v>0</x:v>
      </x:c>
    </x:row>
    <x:row r="413" ht="175.5" customHeight="1">
      <x:c r="A413" s="35" t="str">
        <x:v>V3_CF07_Q02</x:v>
      </x:c>
      <x:c r="B413" s="36" t="str">
        <x:v>SG_CONFLICT_CF07</x:v>
      </x:c>
      <x:c r="C413" s="36" t="str">
        <x:v>CF07</x:v>
      </x:c>
      <x:c r="D413" s="36" t="str">
        <x:v>两位小数与分隔符硬负例</x:v>
      </x:c>
      <x:c r="E413" s="36" t="str">
        <x:v>conflict_resolution</x:v>
      </x:c>
      <x:c r="F413" s="36" t="str">
        <x:v>human_goal_oriented</x:v>
      </x:c>
      <x:c r="G413" s="36" t="str">
        <x:v>challenge</x:v>
      </x:c>
      <x:c r="H413" s="36" t="str">
        <x:v>困难</x:v>
      </x:c>
      <x:c r="I413" s="36" t="str">
        <x:v>6e99a1ad-07d2-4b66-a1ce-ece6d99c20a5|a01fbce3-2793-461f-ab86-43680ccbae25</x:v>
      </x:c>
      <x:c r="J413" s="36" t="str">
        <x:v>CTX_6e99a1ad-07d2-4b66-a1ce-ece6d99c20a5</x:v>
      </x:c>
      <x:c r="K413" s="36" t="str">
        <x:v>MTM_6e99a1ad-07d2-4b66-a1ce-ece6d99c20a5</x:v>
      </x:c>
      <x:c r="L413" s="36" t="str"/>
      <x:c r="M413" s="36" t="str">
        <x:v>STM_a01fbce3-2793-461f-ab86-43680ccbae25</x:v>
      </x:c>
      <x:c r="N413" s="36" t="str">
        <x:v>可复用模板</x:v>
      </x:c>
      <x:c r="O413" s="36" t="str">
        <x:v>中期</x:v>
      </x:c>
      <x:c r="P413" s="36" t="str">
        <x:v>["libreoffice_calc"]</x:v>
      </x:c>
      <x:c r="Q413" s="36" t="str">
        <x:v>[{"step_id":"S1","app":"libreoffice_calc","action_key":"format_spent_two_decimals","input_artifacts":["Keep_Two_decimal_points.xlsx"],"output_artifacts":["[\"Keep_Two_decimal_points.xlsx\",\"Keep_Two_decimal_points-Sheet1.csv\"]"],"depends_on":[]}]</x:v>
      </x:c>
      <x:c r="R413" s="36" t="str">
        <x:v>[]</x:v>
      </x:c>
      <x:c r="S413" s="36" t="str">
        <x:v>format_spent_two_decimals</x:v>
      </x:c>
      <x:c r="T413" s="36" t="str">
        <x:v>Keep_Two_decimal_points.xlsx</x:v>
      </x:c>
      <x:c r="U413" s="36" t="str">
        <x:v>retrieve_and_execute</x:v>
      </x:c>
      <x:c r="V413" s="36" t="str">
        <x:v>[{"point_id":"P1","description":"在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x:v>
      </x:c>
      <x:c r="W413" s="36" t="str">
        <x:v>1.00</x:v>
      </x:c>
      <x:c r="X413" s="39" t="str">
        <x:v>这次只做下面这个结果，别套用相似任务的做法：在 Keep_Two_decimal_points.xlsx 中把 spent 列的显示格式统一设置为保留两位小数。</x:v>
      </x:c>
      <x:c r="Y413" s="39" t="str">
        <x:v>第1条记忆（中期/可复用模板）：在 Keep_Two_decimal_points.xlsx 中把 spent 列的显示格式统一设置为保留两位小数。关键约束：只格式化 spent 列；固定显示两位小数；不改变原数值。</x:v>
      </x:c>
      <x:c r="Z413" s="39" t="str">
        <x:v>不适用：当前题目不存在需要用户进一步选择的候选记忆。</x:v>
      </x:c>
      <x:c r="AA413"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B413" s="39" t="str">
        <x:v>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C413" s="39" t="str">
        <x:v>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x:v>
      </x:c>
      <x:c r="AD413" s="39" t="str">
        <x:v>用户的完整请求是：“这次只做下面这个结果，别套用相似任务的做法：在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E413" s="39" t="str">
        <x:v>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13" s="50" t="str">
        <x:v>not_pass</x:v>
      </x:c>
      <x:c r="AG413" s="50" t="n">
        <x:v>0</x:v>
      </x:c>
    </x:row>
    <x:row r="414" ht="175.5" customHeight="1">
      <x:c r="A414" s="35" t="str">
        <x:v>V3_CF07_Q03</x:v>
      </x:c>
      <x:c r="B414" s="36" t="str">
        <x:v>SG_CONFLICT_CF07</x:v>
      </x:c>
      <x:c r="C414" s="36" t="str">
        <x:v>CF07</x:v>
      </x:c>
      <x:c r="D414" s="36" t="str">
        <x:v>两位小数与分隔符硬负例</x:v>
      </x:c>
      <x:c r="E414" s="36" t="str">
        <x:v>conflict_resolution</x:v>
      </x:c>
      <x:c r="F414" s="36" t="str">
        <x:v>contextual_ellipsis</x:v>
      </x:c>
      <x:c r="G414" s="36" t="str">
        <x:v>challenge</x:v>
      </x:c>
      <x:c r="H414" s="36" t="str">
        <x:v>困难</x:v>
      </x:c>
      <x:c r="I414" s="36" t="str">
        <x:v>6e99a1ad-07d2-4b66-a1ce-ece6d99c20a5|a01fbce3-2793-461f-ab86-43680ccbae25</x:v>
      </x:c>
      <x:c r="J414" s="36" t="str">
        <x:v>CTX_6e99a1ad-07d2-4b66-a1ce-ece6d99c20a5</x:v>
      </x:c>
      <x:c r="K414" s="36" t="str">
        <x:v>MTM_6e99a1ad-07d2-4b66-a1ce-ece6d99c20a5</x:v>
      </x:c>
      <x:c r="L414" s="36" t="str"/>
      <x:c r="M414" s="36" t="str">
        <x:v>STM_a01fbce3-2793-461f-ab86-43680ccbae25</x:v>
      </x:c>
      <x:c r="N414" s="36" t="str">
        <x:v>可复用模板</x:v>
      </x:c>
      <x:c r="O414" s="36" t="str">
        <x:v>中期</x:v>
      </x:c>
      <x:c r="P414" s="36" t="str">
        <x:v>["libreoffice_calc"]</x:v>
      </x:c>
      <x:c r="Q414" s="36" t="str">
        <x:v>[{"step_id":"S1","app":"libreoffice_calc","action_key":"format_spent_two_decimals","input_artifacts":["Keep_Two_decimal_points.xlsx"],"output_artifacts":["[\"Keep_Two_decimal_points.xlsx\",\"Keep_Two_decimal_points-Sheet1.csv\"]"],"depends_on":[]}]</x:v>
      </x:c>
      <x:c r="R414" s="36" t="str">
        <x:v>[]</x:v>
      </x:c>
      <x:c r="S414" s="36" t="str">
        <x:v>format_spent_two_decimals</x:v>
      </x:c>
      <x:c r="T414" s="36" t="str">
        <x:v>Keep_Two_decimal_points.xlsx</x:v>
      </x:c>
      <x:c r="U414" s="36" t="str">
        <x:v>retrieve_and_execute</x:v>
      </x:c>
      <x:c r="V414" s="36" t="str">
        <x:v>[{"point_id":"P1","description":"在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x:v>
      </x:c>
      <x:c r="W414" s="36" t="str">
        <x:v>1.00</x:v>
      </x:c>
      <x:c r="X414" s="39" t="str">
        <x:v>文件已经打开了，我要的是这套处理：在 Keep_Two_decimal_points.xlsx 中把 spent 列的显示格式统一设置为保留两位小数。</x:v>
      </x:c>
      <x:c r="Y414" s="39" t="str">
        <x:v>第1条记忆（中期/可复用模板）：在 Keep_Two_decimal_points.xlsx 中把 spent 列的显示格式统一设置为保留两位小数。关键约束：只格式化 spent 列；固定显示两位小数；不改变原数值。</x:v>
      </x:c>
      <x:c r="Z414" s="39" t="str">
        <x:v>不适用：当前题目不存在需要用户进一步选择的候选记忆。</x:v>
      </x:c>
      <x:c r="AA414"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B414" s="39" t="str">
        <x:v>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C414" s="39" t="str">
        <x:v>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x:v>
      </x:c>
      <x:c r="AD414" s="39" t="str">
        <x:v>用户的完整请求是：“文件已经打开了，我要的是这套处理：在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E414" s="39" t="str">
        <x:v>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14" s="50" t="str">
        <x:v>not_pass</x:v>
      </x:c>
      <x:c r="AG414" s="50" t="n">
        <x:v>0</x:v>
      </x:c>
    </x:row>
    <x:row r="415" ht="175.5" customHeight="1">
      <x:c r="A415" s="35" t="str">
        <x:v>V3_CF07_Q04</x:v>
      </x:c>
      <x:c r="B415" s="36" t="str">
        <x:v>SG_CONFLICT_CF07</x:v>
      </x:c>
      <x:c r="C415" s="36" t="str">
        <x:v>CF07</x:v>
      </x:c>
      <x:c r="D415" s="36" t="str">
        <x:v>两位小数与分隔符硬负例</x:v>
      </x:c>
      <x:c r="E415" s="36" t="str">
        <x:v>conflict_resolution</x:v>
      </x:c>
      <x:c r="F415" s="36" t="str">
        <x:v>low_overlap_paraphrase</x:v>
      </x:c>
      <x:c r="G415" s="36" t="str">
        <x:v>challenge</x:v>
      </x:c>
      <x:c r="H415" s="36" t="str">
        <x:v>困难</x:v>
      </x:c>
      <x:c r="I415" s="36" t="str">
        <x:v>6e99a1ad-07d2-4b66-a1ce-ece6d99c20a5|a01fbce3-2793-461f-ab86-43680ccbae25</x:v>
      </x:c>
      <x:c r="J415" s="36" t="str">
        <x:v>CTX_6e99a1ad-07d2-4b66-a1ce-ece6d99c20a5</x:v>
      </x:c>
      <x:c r="K415" s="36" t="str">
        <x:v>MTM_6e99a1ad-07d2-4b66-a1ce-ece6d99c20a5</x:v>
      </x:c>
      <x:c r="L415" s="36" t="str"/>
      <x:c r="M415" s="36" t="str">
        <x:v>STM_a01fbce3-2793-461f-ab86-43680ccbae25</x:v>
      </x:c>
      <x:c r="N415" s="36" t="str">
        <x:v>可复用模板</x:v>
      </x:c>
      <x:c r="O415" s="36" t="str">
        <x:v>中期</x:v>
      </x:c>
      <x:c r="P415" s="36" t="str">
        <x:v>["libreoffice_calc"]</x:v>
      </x:c>
      <x:c r="Q415" s="36" t="str">
        <x:v>[{"step_id":"S1","app":"libreoffice_calc","action_key":"format_spent_two_decimals","input_artifacts":["Keep_Two_decimal_points.xlsx"],"output_artifacts":["[\"Keep_Two_decimal_points.xlsx\",\"Keep_Two_decimal_points-Sheet1.csv\"]"],"depends_on":[]}]</x:v>
      </x:c>
      <x:c r="R415" s="36" t="str">
        <x:v>[]</x:v>
      </x:c>
      <x:c r="S415" s="36" t="str">
        <x:v>format_spent_two_decimals</x:v>
      </x:c>
      <x:c r="T415" s="36" t="str">
        <x:v>Keep_Two_decimal_points.xlsx</x:v>
      </x:c>
      <x:c r="U415" s="36" t="str">
        <x:v>retrieve_and_execute</x:v>
      </x:c>
      <x:c r="V415" s="36" t="str">
        <x:v>[{"point_id":"P1","description":"在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x:v>
      </x:c>
      <x:c r="W415" s="36" t="str">
        <x:v>1.00</x:v>
      </x:c>
      <x:c r="X415" s="39" t="str">
        <x:v>前面的相似方案先不要用，当前目标是：在 Keep_Two_decimal_points.xlsx 中把 spent 列的显示格式统一设置为保留两位小数。</x:v>
      </x:c>
      <x:c r="Y415" s="39" t="str">
        <x:v>第1条记忆（中期/可复用模板）：在 Keep_Two_decimal_points.xlsx 中把 spent 列的显示格式统一设置为保留两位小数。关键约束：只格式化 spent 列；固定显示两位小数；不改变原数值。</x:v>
      </x:c>
      <x:c r="Z415" s="39" t="str">
        <x:v>不适用：当前题目不存在需要用户进一步选择的候选记忆。</x:v>
      </x:c>
      <x:c r="AA415"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B415" s="39" t="str">
        <x:v>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C415" s="39" t="str">
        <x:v>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x:v>
      </x:c>
      <x:c r="AD415" s="39" t="str">
        <x:v>用户的完整请求是：“前面的相似方案先不要用，当前目标是：在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E415" s="39" t="str">
        <x:v>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15" s="50" t="str">
        <x:v>not_pass</x:v>
      </x:c>
      <x:c r="AG415" s="50" t="n">
        <x:v>0</x:v>
      </x:c>
    </x:row>
    <x:row r="416" ht="175.5" customHeight="1">
      <x:c r="A416" s="35" t="str">
        <x:v>V3_CF07_Q05</x:v>
      </x:c>
      <x:c r="B416" s="36" t="str">
        <x:v>SG_CONFLICT_CF07</x:v>
      </x:c>
      <x:c r="C416" s="36" t="str">
        <x:v>CF07</x:v>
      </x:c>
      <x:c r="D416" s="36" t="str">
        <x:v>两位小数与分隔符硬负例</x:v>
      </x:c>
      <x:c r="E416" s="36" t="str">
        <x:v>conflict_resolution</x:v>
      </x:c>
      <x:c r="F416" s="36" t="str">
        <x:v>human_constraint_emphasis</x:v>
      </x:c>
      <x:c r="G416" s="36" t="str">
        <x:v>challenge</x:v>
      </x:c>
      <x:c r="H416" s="36" t="str">
        <x:v>困难</x:v>
      </x:c>
      <x:c r="I416" s="36" t="str">
        <x:v>6e99a1ad-07d2-4b66-a1ce-ece6d99c20a5|a01fbce3-2793-461f-ab86-43680ccbae25</x:v>
      </x:c>
      <x:c r="J416" s="36" t="str">
        <x:v>CTX_6e99a1ad-07d2-4b66-a1ce-ece6d99c20a5</x:v>
      </x:c>
      <x:c r="K416" s="36" t="str">
        <x:v>MTM_6e99a1ad-07d2-4b66-a1ce-ece6d99c20a5</x:v>
      </x:c>
      <x:c r="L416" s="36" t="str"/>
      <x:c r="M416" s="36" t="str">
        <x:v>STM_a01fbce3-2793-461f-ab86-43680ccbae25</x:v>
      </x:c>
      <x:c r="N416" s="36" t="str">
        <x:v>可复用模板</x:v>
      </x:c>
      <x:c r="O416" s="36" t="str">
        <x:v>中期</x:v>
      </x:c>
      <x:c r="P416" s="36" t="str">
        <x:v>["libreoffice_calc"]</x:v>
      </x:c>
      <x:c r="Q416" s="36" t="str">
        <x:v>[{"step_id":"S1","app":"libreoffice_calc","action_key":"format_spent_two_decimals","input_artifacts":["Keep_Two_decimal_points.xlsx"],"output_artifacts":["[\"Keep_Two_decimal_points.xlsx\",\"Keep_Two_decimal_points-Sheet1.csv\"]"],"depends_on":[]}]</x:v>
      </x:c>
      <x:c r="R416" s="36" t="str">
        <x:v>[]</x:v>
      </x:c>
      <x:c r="S416" s="36" t="str">
        <x:v>format_spent_two_decimals</x:v>
      </x:c>
      <x:c r="T416" s="36" t="str">
        <x:v>Keep_Two_decimal_points.xlsx</x:v>
      </x:c>
      <x:c r="U416" s="36" t="str">
        <x:v>retrieve_and_execute</x:v>
      </x:c>
      <x:c r="V416" s="36" t="str">
        <x:v>[{"point_id":"P1","description":"在 Keep_Two_decimal_points.xlsx 中把 spent 列的显示格式统一设置为保留两位小数。","weight":0.8,"evidence_memory_ids":["MTM_6e99a1ad-07d2-4b66-a1ce-ece6d99c20a5"]},{"point_id":"P2","description":"不采用禁止记忆中的冲突操作，且不让错误方案替代必需结论","weight":0.2,"evidence_memory_ids":["MTM_6e99a1ad-07d2-4b66-a1ce-ece6d99c20a5","STM_a01fbce3-2793-461f-ab86-43680ccbae25"]}]</x:v>
      </x:c>
      <x:c r="W416" s="36" t="str">
        <x:v>1.00</x:v>
      </x:c>
      <x:c r="X416" s="39" t="str">
        <x:v>为了避免选错历史记录，我把要求再说一遍：在 Keep_Two_decimal_points.xlsx 中把 spent 列的显示格式统一设置为保留两位小数。</x:v>
      </x:c>
      <x:c r="Y416" s="39" t="str">
        <x:v>第1条记忆（中期/可复用模板）：在 Keep_Two_decimal_points.xlsx 中把 spent 列的显示格式统一设置为保留两位小数。关键约束：只格式化 spent 列；固定显示两位小数；不改变原数值。</x:v>
      </x:c>
      <x:c r="Z416" s="39" t="str">
        <x:v>不适用：当前题目不存在需要用户进一步选择的候选记忆。</x:v>
      </x:c>
      <x:c r="AA416" s="39" t="str">
        <x:v>第1条记忆（短期/工作流程）：在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B416" s="39" t="str">
        <x:v>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C416" s="39" t="str">
        <x:v>第1项实际操作：在 Keep_Two_decimal_points.xlsx 中把 spent 列的显示格式统一设置为保留两位小数。执行时必须满足：只格式化 spent 列；固定显示两位小数；不改变原数值。 第1项禁止操作：在 Set_Decimal_Separator_Dot.xlsx 中把整张表数值的小数分隔符显示为逗号，同时保持各个小数的实际数值和精度不变。该操作不得替代或混入当前执行结果。</x:v>
      </x:c>
      <x:c r="AD416" s="39" t="str">
        <x:v>用户的完整请求是：“为了避免选错历史记录，我把要求再说一遍：在 Keep_Two_decimal_points.xlsx 中把 spent 列的显示格式统一设置为保留两位小数。” 第1个当前上下文：Keep_Two_decimal_points.xlsx 已在 LibreOffice Calc 中打开。 与当前请求一致、应当调用的完整记忆如下：
第1条记忆（中期/可复用模板）：在 Keep_Two_decimal_points.xlsx 中把 spent 列的显示格式统一设置为保留两位小数。关键约束：只格式化 spent 列；固定显示两位小数；不改变原数值。
这些记忆描述的目标文件、操作对象、处理方式和输出结果与 Query 中明确表达的当前要求一致。与此同时，记忆库中还存在以下容易造成误检的完整禁止记忆：
第1条记忆（短期/工作流程）：在 Set_Decimal_Separator_Dot.xlsx 中把整张表数值的小数分隔符显示为逗号，同时保持各个小数的实际数值和精度不变。关键约束：小数分隔符改为逗号；不得改变数值大小或已有小数位；覆盖表内所有数值。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Keep_Two_decimal_points.xlsx 中把 spent 列的显示格式统一设置为保留两位小数。同时明确不得采用以下相似但不符合当前要求的方案：在 Set_Decimal_Separator_Dot.xlsx 中把整张表数值的小数分隔符显示为逗号，同时保持各个小数的实际数值和精度不变。”</x:v>
      </x:c>
      <x:c r="AE416" s="39" t="str">
        <x:v>本题总分为 1.00 分，各得分点独立累计，允许语义等价表达，不要求模型输出记忆 ID，也不要求逐字复述记忆原文。
第1个得分点（0.80分）：在 Keep_Two_decimal_points.xlsx 中把 spent 列的显示格式统一设置为保留两位小数。该得分点所依据的完整证据为：
第1条记忆（中期/可复用模板）：在 Keep_Two_decimal_points.xlsx 中把 spent 列的显示格式统一设置为保留两位小数。关键约束：只格式化 spent 列；固定显示两位小数；不改变原数值。
第2个得分点（0.20分）：不采用禁止记忆中的冲突操作，且不让错误方案替代必需结论。该得分点所依据的完整证据为：
第1条记忆（中期/可复用模板）：在 Keep_Two_decimal_points.xlsx 中把 spent 列的显示格式统一设置为保留两位小数。关键约束：只格式化 spent 列；固定显示两位小数；不改变原数值。
第2条记忆（短期/工作流程）：在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16" s="50" t="str">
        <x:v>not_pass</x:v>
      </x:c>
      <x:c r="AG416" s="50" t="n">
        <x:v>0</x:v>
      </x:c>
    </x:row>
    <x:row r="417" ht="175.5" customHeight="1">
      <x:c r="A417" s="35" t="str">
        <x:v>V3_CF08_Q01</x:v>
      </x:c>
      <x:c r="B417" s="36" t="str">
        <x:v>SG_CONFLICT_CF08</x:v>
      </x:c>
      <x:c r="C417" s="36" t="str">
        <x:v>CF08</x:v>
      </x:c>
      <x:c r="D417" s="36" t="str">
        <x:v>文本公式与 spent 格式硬负例</x:v>
      </x:c>
      <x:c r="E417" s="36" t="str">
        <x:v>conflict_resolution</x:v>
      </x:c>
      <x:c r="F417" s="36" t="str">
        <x:v>human_context_explicit</x:v>
      </x:c>
      <x:c r="G417" s="36" t="str">
        <x:v>challenge</x:v>
      </x:c>
      <x:c r="H417" s="36" t="str">
        <x:v>困难</x:v>
      </x:c>
      <x:c r="I417" s="36" t="str">
        <x:v>4f07fbe9-70de-4927-a4d5-bb28bc12c52c|6e99a1ad-07d2-4b66-a1ce-ece6d99c20a5</x:v>
      </x:c>
      <x:c r="J417" s="36" t="str">
        <x:v>CTX_4f07fbe9-70de-4927-a4d5-bb28bc12c52c</x:v>
      </x:c>
      <x:c r="K417" s="36" t="str">
        <x:v>LTM_4f07fbe9-70de-4927-a4d5-bb28bc12c52c</x:v>
      </x:c>
      <x:c r="L417" s="36" t="str"/>
      <x:c r="M417" s="36" t="str">
        <x:v>MTM_6e99a1ad-07d2-4b66-a1ce-ece6d99c20a5</x:v>
      </x:c>
      <x:c r="N417" s="36" t="str">
        <x:v>知识</x:v>
      </x:c>
      <x:c r="O417" s="36" t="str">
        <x:v>长期</x:v>
      </x:c>
      <x:c r="P417" s="36" t="str">
        <x:v>["libreoffice_calc"]</x:v>
      </x:c>
      <x:c r="Q417" s="36" t="str">
        <x:v>[{"step_id":"S1","app":"libreoffice_calc","action_key":"format_embedded_number_to_two_decimals","input_artifacts":["Padding_Decimals_In_Formular.xlsx"],"output_artifacts":["[\"Padding_Decimals_In_Formular.xlsx\",\"Padding_Decimals_In_Formular-Sheet1.csv\"]"],"depends_on":[]}]</x:v>
      </x:c>
      <x:c r="R417" s="36" t="str">
        <x:v>[]</x:v>
      </x:c>
      <x:c r="S417" s="36" t="str">
        <x:v>format_embedded_number_to_two_decimals</x:v>
      </x:c>
      <x:c r="T417" s="36" t="str">
        <x:v>Padding_Decimals_In_Formular.xlsx</x:v>
      </x:c>
      <x:c r="U417" s="36" t="str">
        <x:v>retrieve_and_execute</x:v>
      </x:c>
      <x:c r="V417" s="36" t="str">
        <x:v>[{"point_id":"P1","description":"在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x:v>
      </x:c>
      <x:c r="W417" s="36" t="str">
        <x:v>1.00</x:v>
      </x:c>
      <x:c r="X417" s="39" t="str">
        <x:v>我正在处理这份表，按之前确认的这一版来：在 Padding_Decimals_In_Formular.xlsx 中处理文本公式里的数值显示，使嵌入文本的数字也固定保留两位小数，而不是只修改原数值单元格的显示格式。</x:v>
      </x:c>
      <x:c r="Y417"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417" s="39" t="str">
        <x:v>不适用：当前题目不存在需要用户进一步选择的候选记忆。</x:v>
      </x:c>
      <x:c r="AA417" s="39" t="str">
        <x:v>第1条记忆（中期/可复用模板）：在 Keep_Two_decimal_points.xlsx 中把 spent 列的显示格式统一设置为保留两位小数。关键约束：只格式化 spent 列；固定显示两位小数；不改变原数值。</x:v>
      </x:c>
      <x:c r="AB417" s="39" t="str">
        <x:v>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C417"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x:v>
      </x:c>
      <x:c r="AD417" s="39" t="str">
        <x:v>用户的完整请求是：“我正在处理这份表，按之前确认的这一版来：在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E417" s="39" t="str">
        <x:v>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417" s="50" t="str">
        <x:v>not_pass</x:v>
      </x:c>
      <x:c r="AG417" s="50" t="n">
        <x:v>0</x:v>
      </x:c>
    </x:row>
    <x:row r="418" ht="175.5" customHeight="1">
      <x:c r="A418" s="35" t="str">
        <x:v>V3_CF08_Q02</x:v>
      </x:c>
      <x:c r="B418" s="36" t="str">
        <x:v>SG_CONFLICT_CF08</x:v>
      </x:c>
      <x:c r="C418" s="36" t="str">
        <x:v>CF08</x:v>
      </x:c>
      <x:c r="D418" s="36" t="str">
        <x:v>文本公式与 spent 格式硬负例</x:v>
      </x:c>
      <x:c r="E418" s="36" t="str">
        <x:v>conflict_resolution</x:v>
      </x:c>
      <x:c r="F418" s="36" t="str">
        <x:v>human_goal_oriented</x:v>
      </x:c>
      <x:c r="G418" s="36" t="str">
        <x:v>challenge</x:v>
      </x:c>
      <x:c r="H418" s="36" t="str">
        <x:v>困难</x:v>
      </x:c>
      <x:c r="I418" s="36" t="str">
        <x:v>4f07fbe9-70de-4927-a4d5-bb28bc12c52c|6e99a1ad-07d2-4b66-a1ce-ece6d99c20a5</x:v>
      </x:c>
      <x:c r="J418" s="36" t="str">
        <x:v>CTX_4f07fbe9-70de-4927-a4d5-bb28bc12c52c</x:v>
      </x:c>
      <x:c r="K418" s="36" t="str">
        <x:v>LTM_4f07fbe9-70de-4927-a4d5-bb28bc12c52c</x:v>
      </x:c>
      <x:c r="L418" s="36" t="str"/>
      <x:c r="M418" s="36" t="str">
        <x:v>MTM_6e99a1ad-07d2-4b66-a1ce-ece6d99c20a5</x:v>
      </x:c>
      <x:c r="N418" s="36" t="str">
        <x:v>知识</x:v>
      </x:c>
      <x:c r="O418" s="36" t="str">
        <x:v>长期</x:v>
      </x:c>
      <x:c r="P418" s="36" t="str">
        <x:v>["libreoffice_calc"]</x:v>
      </x:c>
      <x:c r="Q418" s="36" t="str">
        <x:v>[{"step_id":"S1","app":"libreoffice_calc","action_key":"format_embedded_number_to_two_decimals","input_artifacts":["Padding_Decimals_In_Formular.xlsx"],"output_artifacts":["[\"Padding_Decimals_In_Formular.xlsx\",\"Padding_Decimals_In_Formular-Sheet1.csv\"]"],"depends_on":[]}]</x:v>
      </x:c>
      <x:c r="R418" s="36" t="str">
        <x:v>[]</x:v>
      </x:c>
      <x:c r="S418" s="36" t="str">
        <x:v>format_embedded_number_to_two_decimals</x:v>
      </x:c>
      <x:c r="T418" s="36" t="str">
        <x:v>Padding_Decimals_In_Formular.xlsx</x:v>
      </x:c>
      <x:c r="U418" s="36" t="str">
        <x:v>retrieve_and_execute</x:v>
      </x:c>
      <x:c r="V418" s="36" t="str">
        <x:v>[{"point_id":"P1","description":"在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x:v>
      </x:c>
      <x:c r="W418" s="36" t="str">
        <x:v>1.00</x:v>
      </x:c>
      <x:c r="X418" s="39" t="str">
        <x:v>这次只做下面这个结果，别套用相似任务的做法：在 Padding_Decimals_In_Formular.xlsx 中处理文本公式里的数值显示，使嵌入文本的数字也固定保留两位小数，而不是只修改原数值单元格的显示格式。</x:v>
      </x:c>
      <x:c r="Y418"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418" s="39" t="str">
        <x:v>不适用：当前题目不存在需要用户进一步选择的候选记忆。</x:v>
      </x:c>
      <x:c r="AA418" s="39" t="str">
        <x:v>第1条记忆（中期/可复用模板）：在 Keep_Two_decimal_points.xlsx 中把 spent 列的显示格式统一设置为保留两位小数。关键约束：只格式化 spent 列；固定显示两位小数；不改变原数值。</x:v>
      </x:c>
      <x:c r="AB418" s="39" t="str">
        <x:v>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C418"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x:v>
      </x:c>
      <x:c r="AD418" s="39" t="str">
        <x:v>用户的完整请求是：“这次只做下面这个结果，别套用相似任务的做法：在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E418" s="39" t="str">
        <x:v>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418" s="50" t="str">
        <x:v>not_pass</x:v>
      </x:c>
      <x:c r="AG418" s="50" t="n">
        <x:v>0</x:v>
      </x:c>
    </x:row>
    <x:row r="419" ht="175.5" customHeight="1">
      <x:c r="A419" s="35" t="str">
        <x:v>V3_CF08_Q03</x:v>
      </x:c>
      <x:c r="B419" s="36" t="str">
        <x:v>SG_CONFLICT_CF08</x:v>
      </x:c>
      <x:c r="C419" s="36" t="str">
        <x:v>CF08</x:v>
      </x:c>
      <x:c r="D419" s="36" t="str">
        <x:v>文本公式与 spent 格式硬负例</x:v>
      </x:c>
      <x:c r="E419" s="36" t="str">
        <x:v>conflict_resolution</x:v>
      </x:c>
      <x:c r="F419" s="36" t="str">
        <x:v>contextual_ellipsis</x:v>
      </x:c>
      <x:c r="G419" s="36" t="str">
        <x:v>challenge</x:v>
      </x:c>
      <x:c r="H419" s="36" t="str">
        <x:v>困难</x:v>
      </x:c>
      <x:c r="I419" s="36" t="str">
        <x:v>4f07fbe9-70de-4927-a4d5-bb28bc12c52c|6e99a1ad-07d2-4b66-a1ce-ece6d99c20a5</x:v>
      </x:c>
      <x:c r="J419" s="36" t="str">
        <x:v>CTX_4f07fbe9-70de-4927-a4d5-bb28bc12c52c</x:v>
      </x:c>
      <x:c r="K419" s="36" t="str">
        <x:v>LTM_4f07fbe9-70de-4927-a4d5-bb28bc12c52c</x:v>
      </x:c>
      <x:c r="L419" s="36" t="str"/>
      <x:c r="M419" s="36" t="str">
        <x:v>MTM_6e99a1ad-07d2-4b66-a1ce-ece6d99c20a5</x:v>
      </x:c>
      <x:c r="N419" s="36" t="str">
        <x:v>知识</x:v>
      </x:c>
      <x:c r="O419" s="36" t="str">
        <x:v>长期</x:v>
      </x:c>
      <x:c r="P419" s="36" t="str">
        <x:v>["libreoffice_calc"]</x:v>
      </x:c>
      <x:c r="Q419" s="36" t="str">
        <x:v>[{"step_id":"S1","app":"libreoffice_calc","action_key":"format_embedded_number_to_two_decimals","input_artifacts":["Padding_Decimals_In_Formular.xlsx"],"output_artifacts":["[\"Padding_Decimals_In_Formular.xlsx\",\"Padding_Decimals_In_Formular-Sheet1.csv\"]"],"depends_on":[]}]</x:v>
      </x:c>
      <x:c r="R419" s="36" t="str">
        <x:v>[]</x:v>
      </x:c>
      <x:c r="S419" s="36" t="str">
        <x:v>format_embedded_number_to_two_decimals</x:v>
      </x:c>
      <x:c r="T419" s="36" t="str">
        <x:v>Padding_Decimals_In_Formular.xlsx</x:v>
      </x:c>
      <x:c r="U419" s="36" t="str">
        <x:v>retrieve_and_execute</x:v>
      </x:c>
      <x:c r="V419" s="36" t="str">
        <x:v>[{"point_id":"P1","description":"在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x:v>
      </x:c>
      <x:c r="W419" s="36" t="str">
        <x:v>1.00</x:v>
      </x:c>
      <x:c r="X419" s="39" t="str">
        <x:v>文件已经打开了，我要的是这套处理：在 Padding_Decimals_In_Formular.xlsx 中处理文本公式里的数值显示，使嵌入文本的数字也固定保留两位小数，而不是只修改原数值单元格的显示格式。</x:v>
      </x:c>
      <x:c r="Y419"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419" s="39" t="str">
        <x:v>不适用：当前题目不存在需要用户进一步选择的候选记忆。</x:v>
      </x:c>
      <x:c r="AA419" s="39" t="str">
        <x:v>第1条记忆（中期/可复用模板）：在 Keep_Two_decimal_points.xlsx 中把 spent 列的显示格式统一设置为保留两位小数。关键约束：只格式化 spent 列；固定显示两位小数；不改变原数值。</x:v>
      </x:c>
      <x:c r="AB419" s="39" t="str">
        <x:v>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C419"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x:v>
      </x:c>
      <x:c r="AD419" s="39" t="str">
        <x:v>用户的完整请求是：“文件已经打开了，我要的是这套处理：在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E419" s="39" t="str">
        <x:v>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419" s="50" t="str">
        <x:v>not_pass</x:v>
      </x:c>
      <x:c r="AG419" s="50" t="n">
        <x:v>0</x:v>
      </x:c>
    </x:row>
    <x:row r="420" ht="175.5" customHeight="1">
      <x:c r="A420" s="35" t="str">
        <x:v>V3_CF08_Q04</x:v>
      </x:c>
      <x:c r="B420" s="36" t="str">
        <x:v>SG_CONFLICT_CF08</x:v>
      </x:c>
      <x:c r="C420" s="36" t="str">
        <x:v>CF08</x:v>
      </x:c>
      <x:c r="D420" s="36" t="str">
        <x:v>文本公式与 spent 格式硬负例</x:v>
      </x:c>
      <x:c r="E420" s="36" t="str">
        <x:v>conflict_resolution</x:v>
      </x:c>
      <x:c r="F420" s="36" t="str">
        <x:v>low_overlap_paraphrase</x:v>
      </x:c>
      <x:c r="G420" s="36" t="str">
        <x:v>challenge</x:v>
      </x:c>
      <x:c r="H420" s="36" t="str">
        <x:v>困难</x:v>
      </x:c>
      <x:c r="I420" s="36" t="str">
        <x:v>4f07fbe9-70de-4927-a4d5-bb28bc12c52c|6e99a1ad-07d2-4b66-a1ce-ece6d99c20a5</x:v>
      </x:c>
      <x:c r="J420" s="36" t="str">
        <x:v>CTX_4f07fbe9-70de-4927-a4d5-bb28bc12c52c</x:v>
      </x:c>
      <x:c r="K420" s="36" t="str">
        <x:v>LTM_4f07fbe9-70de-4927-a4d5-bb28bc12c52c</x:v>
      </x:c>
      <x:c r="L420" s="36" t="str"/>
      <x:c r="M420" s="36" t="str">
        <x:v>MTM_6e99a1ad-07d2-4b66-a1ce-ece6d99c20a5</x:v>
      </x:c>
      <x:c r="N420" s="36" t="str">
        <x:v>知识</x:v>
      </x:c>
      <x:c r="O420" s="36" t="str">
        <x:v>长期</x:v>
      </x:c>
      <x:c r="P420" s="36" t="str">
        <x:v>["libreoffice_calc"]</x:v>
      </x:c>
      <x:c r="Q420" s="36" t="str">
        <x:v>[{"step_id":"S1","app":"libreoffice_calc","action_key":"format_embedded_number_to_two_decimals","input_artifacts":["Padding_Decimals_In_Formular.xlsx"],"output_artifacts":["[\"Padding_Decimals_In_Formular.xlsx\",\"Padding_Decimals_In_Formular-Sheet1.csv\"]"],"depends_on":[]}]</x:v>
      </x:c>
      <x:c r="R420" s="36" t="str">
        <x:v>[]</x:v>
      </x:c>
      <x:c r="S420" s="36" t="str">
        <x:v>format_embedded_number_to_two_decimals</x:v>
      </x:c>
      <x:c r="T420" s="36" t="str">
        <x:v>Padding_Decimals_In_Formular.xlsx</x:v>
      </x:c>
      <x:c r="U420" s="36" t="str">
        <x:v>retrieve_and_execute</x:v>
      </x:c>
      <x:c r="V420" s="36" t="str">
        <x:v>[{"point_id":"P1","description":"在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x:v>
      </x:c>
      <x:c r="W420" s="36" t="str">
        <x:v>1.00</x:v>
      </x:c>
      <x:c r="X420" s="39" t="str">
        <x:v>前面的相似方案先不要用，当前目标是：在 Padding_Decimals_In_Formular.xlsx 中处理文本公式里的数值显示，使嵌入文本的数字也固定保留两位小数，而不是只修改原数值单元格的显示格式。</x:v>
      </x:c>
      <x:c r="Y420"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420" s="39" t="str">
        <x:v>不适用：当前题目不存在需要用户进一步选择的候选记忆。</x:v>
      </x:c>
      <x:c r="AA420" s="39" t="str">
        <x:v>第1条记忆（中期/可复用模板）：在 Keep_Two_decimal_points.xlsx 中把 spent 列的显示格式统一设置为保留两位小数。关键约束：只格式化 spent 列；固定显示两位小数；不改变原数值。</x:v>
      </x:c>
      <x:c r="AB420" s="39" t="str">
        <x:v>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C420"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x:v>
      </x:c>
      <x:c r="AD420" s="39" t="str">
        <x:v>用户的完整请求是：“前面的相似方案先不要用，当前目标是：在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E420" s="39" t="str">
        <x:v>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420" s="50" t="str">
        <x:v>not_pass</x:v>
      </x:c>
      <x:c r="AG420" s="50" t="n">
        <x:v>0</x:v>
      </x:c>
    </x:row>
    <x:row r="421" ht="175.5" customHeight="1">
      <x:c r="A421" s="35" t="str">
        <x:v>V3_CF08_Q05</x:v>
      </x:c>
      <x:c r="B421" s="36" t="str">
        <x:v>SG_CONFLICT_CF08</x:v>
      </x:c>
      <x:c r="C421" s="36" t="str">
        <x:v>CF08</x:v>
      </x:c>
      <x:c r="D421" s="36" t="str">
        <x:v>文本公式与 spent 格式硬负例</x:v>
      </x:c>
      <x:c r="E421" s="36" t="str">
        <x:v>conflict_resolution</x:v>
      </x:c>
      <x:c r="F421" s="36" t="str">
        <x:v>human_constraint_emphasis</x:v>
      </x:c>
      <x:c r="G421" s="36" t="str">
        <x:v>challenge</x:v>
      </x:c>
      <x:c r="H421" s="36" t="str">
        <x:v>困难</x:v>
      </x:c>
      <x:c r="I421" s="36" t="str">
        <x:v>4f07fbe9-70de-4927-a4d5-bb28bc12c52c|6e99a1ad-07d2-4b66-a1ce-ece6d99c20a5</x:v>
      </x:c>
      <x:c r="J421" s="36" t="str">
        <x:v>CTX_4f07fbe9-70de-4927-a4d5-bb28bc12c52c</x:v>
      </x:c>
      <x:c r="K421" s="36" t="str">
        <x:v>LTM_4f07fbe9-70de-4927-a4d5-bb28bc12c52c</x:v>
      </x:c>
      <x:c r="L421" s="36" t="str"/>
      <x:c r="M421" s="36" t="str">
        <x:v>MTM_6e99a1ad-07d2-4b66-a1ce-ece6d99c20a5</x:v>
      </x:c>
      <x:c r="N421" s="36" t="str">
        <x:v>知识</x:v>
      </x:c>
      <x:c r="O421" s="36" t="str">
        <x:v>长期</x:v>
      </x:c>
      <x:c r="P421" s="36" t="str">
        <x:v>["libreoffice_calc"]</x:v>
      </x:c>
      <x:c r="Q421" s="36" t="str">
        <x:v>[{"step_id":"S1","app":"libreoffice_calc","action_key":"format_embedded_number_to_two_decimals","input_artifacts":["Padding_Decimals_In_Formular.xlsx"],"output_artifacts":["[\"Padding_Decimals_In_Formular.xlsx\",\"Padding_Decimals_In_Formular-Sheet1.csv\"]"],"depends_on":[]}]</x:v>
      </x:c>
      <x:c r="R421" s="36" t="str">
        <x:v>[]</x:v>
      </x:c>
      <x:c r="S421" s="36" t="str">
        <x:v>format_embedded_number_to_two_decimals</x:v>
      </x:c>
      <x:c r="T421" s="36" t="str">
        <x:v>Padding_Decimals_In_Formular.xlsx</x:v>
      </x:c>
      <x:c r="U421" s="36" t="str">
        <x:v>retrieve_and_execute</x:v>
      </x:c>
      <x:c r="V421" s="36" t="str">
        <x:v>[{"point_id":"P1","description":"在 Padding_Decimals_In_Formular.xlsx 中处理文本公式里的数值显示，使嵌入文本的数字也固定保留两位小数，而不是只修改原数值单元格的显示格式。","weight":0.8,"evidence_memory_ids":["LTM_4f07fbe9-70de-4927-a4d5-bb28bc12c52c"]},{"point_id":"P2","description":"不采用禁止记忆中的冲突操作，且不让错误方案替代必需结论","weight":0.2,"evidence_memory_ids":["LTM_4f07fbe9-70de-4927-a4d5-bb28bc12c52c","MTM_6e99a1ad-07d2-4b66-a1ce-ece6d99c20a5"]}]</x:v>
      </x:c>
      <x:c r="W421" s="36" t="str">
        <x:v>1.00</x:v>
      </x:c>
      <x:c r="X421" s="39" t="str">
        <x:v>为了避免选错历史记录，我把要求再说一遍：在 Padding_Decimals_In_Formular.xlsx 中处理文本公式里的数值显示，使嵌入文本的数字也固定保留两位小数，而不是只修改原数值单元格的显示格式。</x:v>
      </x:c>
      <x:c r="Y421" s="39" t="str">
        <x:v>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x:v>
      </x:c>
      <x:c r="Z421" s="39" t="str">
        <x:v>不适用：当前题目不存在需要用户进一步选择的候选记忆。</x:v>
      </x:c>
      <x:c r="AA421" s="39" t="str">
        <x:v>第1条记忆（中期/可复用模板）：在 Keep_Two_decimal_points.xlsx 中把 spent 列的显示格式统一设置为保留两位小数。关键约束：只格式化 spent 列；固定显示两位小数；不改变原数值。</x:v>
      </x:c>
      <x:c r="AB421" s="39" t="str">
        <x:v>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C421" s="39" t="str">
        <x:v>第1项实际操作：在 Padding_Decimals_In_Formular.xlsx 中处理文本公式里的数值显示，使嵌入文本的数字也固定保留两位小数，而不是只修改原数值单元格的显示格式。执行时必须满足：嵌入文本的数字必须保留两位小数；不修改无关区域。 第1项禁止操作：在 Keep_Two_decimal_points.xlsx 中把 spent 列的显示格式统一设置为保留两位小数。该操作不得替代或混入当前执行结果。</x:v>
      </x:c>
      <x:c r="AD421" s="39" t="str">
        <x:v>用户的完整请求是：“为了避免选错历史记录，我把要求再说一遍：在 Padding_Decimals_In_Formular.xlsx 中处理文本公式里的数值显示，使嵌入文本的数字也固定保留两位小数，而不是只修改原数值单元格的显示格式。” 第1个当前上下文：Padding_Decimals_In_Formular.xlsx 已在 LibreOffice Calc 中打开。 与当前请求一致、应当调用的完整记忆如下：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这些记忆描述的目标文件、操作对象、处理方式和输出结果与 Query 中明确表达的当前要求一致。与此同时，记忆库中还存在以下容易造成误检的完整禁止记忆：
第1条记忆（中期/可复用模板）：在 Keep_Two_decimal_points.xlsx 中把 spent 列的显示格式统一设置为保留两位小数。关键约束：只格式化 spent 列；固定显示两位小数；不改变原数值。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Padding_Decimals_In_Formular.xlsx 中处理文本公式里的数值显示，使嵌入文本的数字也固定保留两位小数，而不是只修改原数值单元格的显示格式。同时明确不得采用以下相似但不符合当前要求的方案：在 Keep_Two_decimal_points.xlsx 中把 spent 列的显示格式统一设置为保留两位小数。”</x:v>
      </x:c>
      <x:c r="AE421" s="39" t="str">
        <x:v>本题总分为 1.00 分，各得分点独立累计，允许语义等价表达，不要求模型输出记忆 ID，也不要求逐字复述记忆原文。
第1个得分点（0.80分）：在 Padding_Decimals_In_Formular.xlsx 中处理文本公式里的数值显示，使嵌入文本的数字也固定保留两位小数，而不是只修改原数值单元格的显示格式。该得分点所依据的完整证据为：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第2个得分点（0.20分）：不采用禁止记忆中的冲突操作，且不让错误方案替代必需结论。该得分点所依据的完整证据为：
第1条记忆（长期/知识）：在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第2条记忆（中期/可复用模板）：在 Keep_Two_decimal_points.xlsx 中把 spent 列的显示格式统一设置为保留两位小数。关键约束：只格式化 spent 列；固定显示两位小数；不改变原数值。
人工复审时，应依据模型最终给出的信息和实际操作是否满足上述每个得分点分别给分；只命中记忆 ID 但没有形成对应结论不能获得该结论分，形成了正确结论但表达方式不同则不应扣分。</x:v>
      </x:c>
      <x:c r="AF421" s="50" t="str">
        <x:v>not_pass</x:v>
      </x:c>
      <x:c r="AG421" s="50" t="n">
        <x:v>0</x:v>
      </x:c>
    </x:row>
    <x:row r="422" ht="202.5" customHeight="1">
      <x:c r="A422" s="35" t="str">
        <x:v>V3_CF09_Q01</x:v>
      </x:c>
      <x:c r="B422" s="36" t="str">
        <x:v>SG_CONFLICT_CF09</x:v>
      </x:c>
      <x:c r="C422" s="36" t="str">
        <x:v>CF09</x:v>
      </x:c>
      <x:c r="D422" s="36" t="str">
        <x:v>电影标题与姓名去重硬负例</x:v>
      </x:c>
      <x:c r="E422" s="36" t="str">
        <x:v>conflict_resolution</x:v>
      </x:c>
      <x:c r="F422" s="36" t="str">
        <x:v>human_context_explicit</x:v>
      </x:c>
      <x:c r="G422" s="36" t="str">
        <x:v>challenge</x:v>
      </x:c>
      <x:c r="H422" s="36" t="str">
        <x:v>困难</x:v>
      </x:c>
      <x:c r="I422" s="36" t="str">
        <x:v>a9f325aa-8c05-4e4f-8341-9e4358565f4f|abed40dc-063f-4598-8ba5-9fe749c0615d</x:v>
      </x:c>
      <x:c r="J422" s="36" t="str">
        <x:v>CTX_a9f325aa-8c05-4e4f-8341-9e4358565f4f</x:v>
      </x:c>
      <x:c r="K422" s="36" t="str">
        <x:v>MTM_a9f325aa-8c05-4e4f-8341-9e4358565f4f</x:v>
      </x:c>
      <x:c r="L422" s="36" t="str"/>
      <x:c r="M422" s="36" t="str">
        <x:v>STM_abed40dc-063f-4598-8ba5-9fe749c0615d</x:v>
      </x:c>
      <x:c r="N422" s="36" t="str">
        <x:v>工作流程</x:v>
      </x:c>
      <x:c r="O422" s="36" t="str">
        <x:v>中期</x:v>
      </x:c>
      <x:c r="P422" s="36" t="str">
        <x:v>["libreoffice_calc"]</x:v>
      </x:c>
      <x:c r="Q422" s="36" t="str">
        <x:v>[{"step_id":"S1","app":"libreoffice_calc","action_key":"clean_movie_titles","input_artifacts":["Movie_title_garbage_clean.xlsx"],"output_artifacts":["Movie_title_garbage_clean.xlsx"],"depends_on":[]}]</x:v>
      </x:c>
      <x:c r="R422" s="36" t="str">
        <x:v>[]</x:v>
      </x:c>
      <x:c r="S422" s="36" t="str">
        <x:v>clean_movie_titles</x:v>
      </x:c>
      <x:c r="T422" s="36" t="str">
        <x:v>Movie_title_garbage_clean.xlsx</x:v>
      </x:c>
      <x:c r="U422" s="36" t="str">
        <x:v>retrieve_and_execute</x:v>
      </x:c>
      <x:c r="V422" s="36" t="str">
        <x:v>[{"point_id":"P1","description":"把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x:v>
      </x:c>
      <x:c r="W422" s="36" t="str">
        <x:v>1.00</x:v>
      </x:c>
      <x:c r="X422" s="39" t="str">
        <x:v>我正在处理这份表，按之前确认的这一版来：把 Movie_title_garbage_clean.xlsx 中 Garbage Movie Titles 的标题复制到 Clean Movie Titles，去掉多余空格，并将每个单词首字母大写、其余字母小写。</x:v>
      </x:c>
      <x:c r="Y422"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422" s="39" t="str">
        <x:v>不适用：当前题目不存在需要用户进一步选择的候选记忆。</x:v>
      </x:c>
      <x:c r="AA422"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AB422" s="39" t="str">
        <x:v>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C422"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x:v>
      </x:c>
      <x:c r="AD422" s="39" t="str">
        <x:v>用户的完整请求是：“我正在处理这份表，按之前确认的这一版来：把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E422" s="39" t="str">
        <x:v>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422" s="50" t="str">
        <x:v>not_pass</x:v>
      </x:c>
      <x:c r="AG422" s="50" t="n">
        <x:v>0</x:v>
      </x:c>
    </x:row>
    <x:row r="423" ht="202.5" customHeight="1">
      <x:c r="A423" s="35" t="str">
        <x:v>V3_CF09_Q02</x:v>
      </x:c>
      <x:c r="B423" s="36" t="str">
        <x:v>SG_CONFLICT_CF09</x:v>
      </x:c>
      <x:c r="C423" s="36" t="str">
        <x:v>CF09</x:v>
      </x:c>
      <x:c r="D423" s="36" t="str">
        <x:v>电影标题与姓名去重硬负例</x:v>
      </x:c>
      <x:c r="E423" s="36" t="str">
        <x:v>conflict_resolution</x:v>
      </x:c>
      <x:c r="F423" s="36" t="str">
        <x:v>human_goal_oriented</x:v>
      </x:c>
      <x:c r="G423" s="36" t="str">
        <x:v>challenge</x:v>
      </x:c>
      <x:c r="H423" s="36" t="str">
        <x:v>困难</x:v>
      </x:c>
      <x:c r="I423" s="36" t="str">
        <x:v>a9f325aa-8c05-4e4f-8341-9e4358565f4f|abed40dc-063f-4598-8ba5-9fe749c0615d</x:v>
      </x:c>
      <x:c r="J423" s="36" t="str">
        <x:v>CTX_a9f325aa-8c05-4e4f-8341-9e4358565f4f</x:v>
      </x:c>
      <x:c r="K423" s="36" t="str">
        <x:v>MTM_a9f325aa-8c05-4e4f-8341-9e4358565f4f</x:v>
      </x:c>
      <x:c r="L423" s="36" t="str"/>
      <x:c r="M423" s="36" t="str">
        <x:v>STM_abed40dc-063f-4598-8ba5-9fe749c0615d</x:v>
      </x:c>
      <x:c r="N423" s="36" t="str">
        <x:v>工作流程</x:v>
      </x:c>
      <x:c r="O423" s="36" t="str">
        <x:v>中期</x:v>
      </x:c>
      <x:c r="P423" s="36" t="str">
        <x:v>["libreoffice_calc"]</x:v>
      </x:c>
      <x:c r="Q423" s="36" t="str">
        <x:v>[{"step_id":"S1","app":"libreoffice_calc","action_key":"clean_movie_titles","input_artifacts":["Movie_title_garbage_clean.xlsx"],"output_artifacts":["Movie_title_garbage_clean.xlsx"],"depends_on":[]}]</x:v>
      </x:c>
      <x:c r="R423" s="36" t="str">
        <x:v>[]</x:v>
      </x:c>
      <x:c r="S423" s="36" t="str">
        <x:v>clean_movie_titles</x:v>
      </x:c>
      <x:c r="T423" s="36" t="str">
        <x:v>Movie_title_garbage_clean.xlsx</x:v>
      </x:c>
      <x:c r="U423" s="36" t="str">
        <x:v>retrieve_and_execute</x:v>
      </x:c>
      <x:c r="V423" s="36" t="str">
        <x:v>[{"point_id":"P1","description":"把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x:v>
      </x:c>
      <x:c r="W423" s="36" t="str">
        <x:v>1.00</x:v>
      </x:c>
      <x:c r="X423" s="39" t="str">
        <x:v>这次只做下面这个结果，别套用相似任务的做法：把 Movie_title_garbage_clean.xlsx 中 Garbage Movie Titles 的标题复制到 Clean Movie Titles，去掉多余空格，并将每个单词首字母大写、其余字母小写。</x:v>
      </x:c>
      <x:c r="Y423"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423" s="39" t="str">
        <x:v>不适用：当前题目不存在需要用户进一步选择的候选记忆。</x:v>
      </x:c>
      <x:c r="AA423"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AB423" s="39" t="str">
        <x:v>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C423"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x:v>
      </x:c>
      <x:c r="AD423" s="39" t="str">
        <x:v>用户的完整请求是：“这次只做下面这个结果，别套用相似任务的做法：把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E423" s="39" t="str">
        <x:v>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423" s="50" t="str">
        <x:v>not_pass</x:v>
      </x:c>
      <x:c r="AG423" s="50" t="n">
        <x:v>0</x:v>
      </x:c>
    </x:row>
    <x:row r="424" ht="189" customHeight="1">
      <x:c r="A424" s="35" t="str">
        <x:v>V3_CF09_Q03</x:v>
      </x:c>
      <x:c r="B424" s="36" t="str">
        <x:v>SG_CONFLICT_CF09</x:v>
      </x:c>
      <x:c r="C424" s="36" t="str">
        <x:v>CF09</x:v>
      </x:c>
      <x:c r="D424" s="36" t="str">
        <x:v>电影标题与姓名去重硬负例</x:v>
      </x:c>
      <x:c r="E424" s="36" t="str">
        <x:v>conflict_resolution</x:v>
      </x:c>
      <x:c r="F424" s="36" t="str">
        <x:v>contextual_ellipsis</x:v>
      </x:c>
      <x:c r="G424" s="36" t="str">
        <x:v>challenge</x:v>
      </x:c>
      <x:c r="H424" s="36" t="str">
        <x:v>困难</x:v>
      </x:c>
      <x:c r="I424" s="36" t="str">
        <x:v>a9f325aa-8c05-4e4f-8341-9e4358565f4f|abed40dc-063f-4598-8ba5-9fe749c0615d</x:v>
      </x:c>
      <x:c r="J424" s="36" t="str">
        <x:v>CTX_a9f325aa-8c05-4e4f-8341-9e4358565f4f</x:v>
      </x:c>
      <x:c r="K424" s="36" t="str">
        <x:v>MTM_a9f325aa-8c05-4e4f-8341-9e4358565f4f</x:v>
      </x:c>
      <x:c r="L424" s="36" t="str"/>
      <x:c r="M424" s="36" t="str">
        <x:v>STM_abed40dc-063f-4598-8ba5-9fe749c0615d</x:v>
      </x:c>
      <x:c r="N424" s="36" t="str">
        <x:v>工作流程</x:v>
      </x:c>
      <x:c r="O424" s="36" t="str">
        <x:v>中期</x:v>
      </x:c>
      <x:c r="P424" s="36" t="str">
        <x:v>["libreoffice_calc"]</x:v>
      </x:c>
      <x:c r="Q424" s="36" t="str">
        <x:v>[{"step_id":"S1","app":"libreoffice_calc","action_key":"clean_movie_titles","input_artifacts":["Movie_title_garbage_clean.xlsx"],"output_artifacts":["Movie_title_garbage_clean.xlsx"],"depends_on":[]}]</x:v>
      </x:c>
      <x:c r="R424" s="36" t="str">
        <x:v>[]</x:v>
      </x:c>
      <x:c r="S424" s="36" t="str">
        <x:v>clean_movie_titles</x:v>
      </x:c>
      <x:c r="T424" s="36" t="str">
        <x:v>Movie_title_garbage_clean.xlsx</x:v>
      </x:c>
      <x:c r="U424" s="36" t="str">
        <x:v>retrieve_and_execute</x:v>
      </x:c>
      <x:c r="V424" s="36" t="str">
        <x:v>[{"point_id":"P1","description":"把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x:v>
      </x:c>
      <x:c r="W424" s="36" t="str">
        <x:v>1.00</x:v>
      </x:c>
      <x:c r="X424" s="39" t="str">
        <x:v>文件已经打开了，我要的是这套处理：把 Movie_title_garbage_clean.xlsx 中 Garbage Movie Titles 的标题复制到 Clean Movie Titles，去掉多余空格，并将每个单词首字母大写、其余字母小写。</x:v>
      </x:c>
      <x:c r="Y424"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424" s="39" t="str">
        <x:v>不适用：当前题目不存在需要用户进一步选择的候选记忆。</x:v>
      </x:c>
      <x:c r="AA424"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AB424" s="39" t="str">
        <x:v>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C424"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x:v>
      </x:c>
      <x:c r="AD424" s="39" t="str">
        <x:v>用户的完整请求是：“文件已经打开了，我要的是这套处理：把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E424" s="39" t="str">
        <x:v>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424" s="50" t="str">
        <x:v>not_pass</x:v>
      </x:c>
      <x:c r="AG424" s="50" t="n">
        <x:v>0</x:v>
      </x:c>
    </x:row>
    <x:row r="425" ht="189" customHeight="1">
      <x:c r="A425" s="35" t="str">
        <x:v>V3_CF09_Q04</x:v>
      </x:c>
      <x:c r="B425" s="36" t="str">
        <x:v>SG_CONFLICT_CF09</x:v>
      </x:c>
      <x:c r="C425" s="36" t="str">
        <x:v>CF09</x:v>
      </x:c>
      <x:c r="D425" s="36" t="str">
        <x:v>电影标题与姓名去重硬负例</x:v>
      </x:c>
      <x:c r="E425" s="36" t="str">
        <x:v>conflict_resolution</x:v>
      </x:c>
      <x:c r="F425" s="36" t="str">
        <x:v>low_overlap_paraphrase</x:v>
      </x:c>
      <x:c r="G425" s="36" t="str">
        <x:v>challenge</x:v>
      </x:c>
      <x:c r="H425" s="36" t="str">
        <x:v>困难</x:v>
      </x:c>
      <x:c r="I425" s="36" t="str">
        <x:v>a9f325aa-8c05-4e4f-8341-9e4358565f4f|abed40dc-063f-4598-8ba5-9fe749c0615d</x:v>
      </x:c>
      <x:c r="J425" s="36" t="str">
        <x:v>CTX_a9f325aa-8c05-4e4f-8341-9e4358565f4f</x:v>
      </x:c>
      <x:c r="K425" s="36" t="str">
        <x:v>MTM_a9f325aa-8c05-4e4f-8341-9e4358565f4f</x:v>
      </x:c>
      <x:c r="L425" s="36" t="str"/>
      <x:c r="M425" s="36" t="str">
        <x:v>STM_abed40dc-063f-4598-8ba5-9fe749c0615d</x:v>
      </x:c>
      <x:c r="N425" s="36" t="str">
        <x:v>工作流程</x:v>
      </x:c>
      <x:c r="O425" s="36" t="str">
        <x:v>中期</x:v>
      </x:c>
      <x:c r="P425" s="36" t="str">
        <x:v>["libreoffice_calc"]</x:v>
      </x:c>
      <x:c r="Q425" s="36" t="str">
        <x:v>[{"step_id":"S1","app":"libreoffice_calc","action_key":"clean_movie_titles","input_artifacts":["Movie_title_garbage_clean.xlsx"],"output_artifacts":["Movie_title_garbage_clean.xlsx"],"depends_on":[]}]</x:v>
      </x:c>
      <x:c r="R425" s="36" t="str">
        <x:v>[]</x:v>
      </x:c>
      <x:c r="S425" s="36" t="str">
        <x:v>clean_movie_titles</x:v>
      </x:c>
      <x:c r="T425" s="36" t="str">
        <x:v>Movie_title_garbage_clean.xlsx</x:v>
      </x:c>
      <x:c r="U425" s="36" t="str">
        <x:v>retrieve_and_execute</x:v>
      </x:c>
      <x:c r="V425" s="36" t="str">
        <x:v>[{"point_id":"P1","description":"把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x:v>
      </x:c>
      <x:c r="W425" s="36" t="str">
        <x:v>1.00</x:v>
      </x:c>
      <x:c r="X425" s="39" t="str">
        <x:v>前面的相似方案先不要用，当前目标是：把 Movie_title_garbage_clean.xlsx 中 Garbage Movie Titles 的标题复制到 Clean Movie Titles，去掉多余空格，并将每个单词首字母大写、其余字母小写。</x:v>
      </x:c>
      <x:c r="Y425"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425" s="39" t="str">
        <x:v>不适用：当前题目不存在需要用户进一步选择的候选记忆。</x:v>
      </x:c>
      <x:c r="AA425"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AB425" s="39" t="str">
        <x:v>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C425"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x:v>
      </x:c>
      <x:c r="AD425" s="39" t="str">
        <x:v>用户的完整请求是：“前面的相似方案先不要用，当前目标是：把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E425" s="39" t="str">
        <x:v>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425" s="50" t="str">
        <x:v>not_pass</x:v>
      </x:c>
      <x:c r="AG425" s="50" t="n">
        <x:v>0</x:v>
      </x:c>
    </x:row>
    <x:row r="426" ht="202.5" customHeight="1">
      <x:c r="A426" s="35" t="str">
        <x:v>V3_CF09_Q05</x:v>
      </x:c>
      <x:c r="B426" s="36" t="str">
        <x:v>SG_CONFLICT_CF09</x:v>
      </x:c>
      <x:c r="C426" s="36" t="str">
        <x:v>CF09</x:v>
      </x:c>
      <x:c r="D426" s="36" t="str">
        <x:v>电影标题与姓名去重硬负例</x:v>
      </x:c>
      <x:c r="E426" s="36" t="str">
        <x:v>conflict_resolution</x:v>
      </x:c>
      <x:c r="F426" s="36" t="str">
        <x:v>human_constraint_emphasis</x:v>
      </x:c>
      <x:c r="G426" s="36" t="str">
        <x:v>challenge</x:v>
      </x:c>
      <x:c r="H426" s="36" t="str">
        <x:v>困难</x:v>
      </x:c>
      <x:c r="I426" s="36" t="str">
        <x:v>a9f325aa-8c05-4e4f-8341-9e4358565f4f|abed40dc-063f-4598-8ba5-9fe749c0615d</x:v>
      </x:c>
      <x:c r="J426" s="36" t="str">
        <x:v>CTX_a9f325aa-8c05-4e4f-8341-9e4358565f4f</x:v>
      </x:c>
      <x:c r="K426" s="36" t="str">
        <x:v>MTM_a9f325aa-8c05-4e4f-8341-9e4358565f4f</x:v>
      </x:c>
      <x:c r="L426" s="36" t="str"/>
      <x:c r="M426" s="36" t="str">
        <x:v>STM_abed40dc-063f-4598-8ba5-9fe749c0615d</x:v>
      </x:c>
      <x:c r="N426" s="36" t="str">
        <x:v>工作流程</x:v>
      </x:c>
      <x:c r="O426" s="36" t="str">
        <x:v>中期</x:v>
      </x:c>
      <x:c r="P426" s="36" t="str">
        <x:v>["libreoffice_calc"]</x:v>
      </x:c>
      <x:c r="Q426" s="36" t="str">
        <x:v>[{"step_id":"S1","app":"libreoffice_calc","action_key":"clean_movie_titles","input_artifacts":["Movie_title_garbage_clean.xlsx"],"output_artifacts":["Movie_title_garbage_clean.xlsx"],"depends_on":[]}]</x:v>
      </x:c>
      <x:c r="R426" s="36" t="str">
        <x:v>[]</x:v>
      </x:c>
      <x:c r="S426" s="36" t="str">
        <x:v>clean_movie_titles</x:v>
      </x:c>
      <x:c r="T426" s="36" t="str">
        <x:v>Movie_title_garbage_clean.xlsx</x:v>
      </x:c>
      <x:c r="U426" s="36" t="str">
        <x:v>retrieve_and_execute</x:v>
      </x:c>
      <x:c r="V426" s="36" t="str">
        <x:v>[{"point_id":"P1","description":"把 Movie_title_garbage_clean.xlsx 中 Garbage Movie Titles 的标题复制到 Clean Movie Titles，去掉多余空格，并将每个单词首字母大写、其余字母小写。","weight":0.8,"evidence_memory_ids":["MTM_a9f325aa-8c05-4e4f-8341-9e4358565f4f"]},{"point_id":"P2","description":"不采用禁止记忆中的冲突操作，且不让错误方案替代必需结论","weight":0.2,"evidence_memory_ids":["MTM_a9f325aa-8c05-4e4f-8341-9e4358565f4f","STM_abed40dc-063f-4598-8ba5-9fe749c0615d"]}]</x:v>
      </x:c>
      <x:c r="W426" s="36" t="str">
        <x:v>1.00</x:v>
      </x:c>
      <x:c r="X426" s="39" t="str">
        <x:v>为了避免选错历史记录，我把要求再说一遍：把 Movie_title_garbage_clean.xlsx 中 Garbage Movie Titles 的标题复制到 Clean Movie Titles，去掉多余空格，并将每个单词首字母大写、其余字母小写。</x:v>
      </x:c>
      <x:c r="Y426" s="39" t="str">
        <x:v>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x:v>
      </x:c>
      <x:c r="Z426" s="39" t="str">
        <x:v>不适用：当前题目不存在需要用户进一步选择的候选记忆。</x:v>
      </x:c>
      <x:c r="AA426" s="39" t="str">
        <x:v>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x:v>
      </x:c>
      <x:c r="AB426" s="39" t="str">
        <x:v>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C426" s="39" t="str">
        <x:v>第1项实际操作：把 Movie_title_garbage_clean.xlsx 中 Garbage Movie Titles 的标题复制到 Clean Movie Titles，去掉多余空格，并将每个单词首字母大写、其余字母小写。执行时必须满足：保留原始脏标题列；清理多余空格；使用单词首字母大写格式；不修改无关区域。 第1项禁止操作：检查 Names_Duplicate_Unique.xlsx 的 Names with duplicates 列，把去重后的姓名填入 Unique Names 列，并保留每个姓名第一次出现的原始顺序。该操作不得替代或混入当前执行结果。</x:v>
      </x:c>
      <x:c r="AD426" s="39" t="str">
        <x:v>用户的完整请求是：“为了避免选错历史记录，我把要求再说一遍：把 Movie_title_garbage_clean.xlsx 中 Garbage Movie Titles 的标题复制到 Clean Movie Titles，去掉多余空格，并将每个单词首字母大写、其余字母小写。” 第1个当前上下文：Movie_title_garbage_clean.xlsx 已在 LibreOffice Calc 中打开。 与当前请求一致、应当调用的完整记忆如下：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这些记忆描述的目标文件、操作对象、处理方式和输出结果与 Query 中明确表达的当前要求一致。与此同时，记忆库中还存在以下容易造成误检的完整禁止记忆：
第1条记忆（短期/工作流程）：检查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Movie_title_garbage_clean.xlsx 中 Garbage Movie Titles 的标题复制到 Clean Movie Titles，去掉多余空格，并将每个单词首字母大写、其余字母小写。同时明确不得采用以下相似但不符合当前要求的方案：检查 Names_Duplicate_Unique.xlsx 的 Names with duplicates 列，把去重后的姓名填入 Unique Names 列，并保留每个姓名第一次出现的原始顺序。”</x:v>
      </x:c>
      <x:c r="AE426" s="39" t="str">
        <x:v>本题总分为 1.00 分，各得分点独立累计，允许语义等价表达，不要求模型输出记忆 ID，也不要求逐字复述记忆原文。
第1个得分点（0.80分）：把 Movie_title_garbage_clean.xlsx 中 Garbage Movie Titles 的标题复制到 Clean Movie Titles，去掉多余空格，并将每个单词首字母大写、其余字母小写。该得分点所依据的完整证据为：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第2个得分点（0.20分）：不采用禁止记忆中的冲突操作，且不让错误方案替代必需结论。该得分点所依据的完整证据为：
第1条记忆（中期/工作流程）：把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第2条记忆（短期/工作流程）：检查 Names_Duplicate_Unique.xlsx 的 Names with duplicates 列，把去重后的姓名填入 Unique Names 列，并保留每个姓名第一次出现的原始顺序。关键约束：去除重复姓名；保留首次出现顺序；不修改原始重复列和无关区域。
人工复审时，应依据模型最终给出的信息和实际操作是否满足上述每个得分点分别给分；只命中记忆 ID 但没有形成对应结论不能获得该结论分，形成了正确结论但表达方式不同则不应扣分。</x:v>
      </x:c>
      <x:c r="AF426" s="50" t="str">
        <x:v>not_pass</x:v>
      </x:c>
      <x:c r="AG426" s="50" t="n">
        <x:v>0</x:v>
      </x:c>
    </x:row>
    <x:row r="427" ht="175.5" customHeight="1">
      <x:c r="A427" s="35" t="str">
        <x:v>V3_CF10_Q01</x:v>
      </x:c>
      <x:c r="B427" s="36" t="str">
        <x:v>SG_CONFLICT_CF10</x:v>
      </x:c>
      <x:c r="C427" s="36" t="str">
        <x:v>CF10</x:v>
      </x:c>
      <x:c r="D427" s="36" t="str">
        <x:v>员工年龄与贷款日期硬负例</x:v>
      </x:c>
      <x:c r="E427" s="36" t="str">
        <x:v>conflict_resolution</x:v>
      </x:c>
      <x:c r="F427" s="36" t="str">
        <x:v>human_context_explicit</x:v>
      </x:c>
      <x:c r="G427" s="36" t="str">
        <x:v>challenge</x:v>
      </x:c>
      <x:c r="H427" s="36" t="str">
        <x:v>困难</x:v>
      </x:c>
      <x:c r="I427" s="36" t="str">
        <x:v>4e6fcf72-daf3-439f-a232-c434ce416af6|4172ea6e-6b77-4edb-a9cc-c0014bd1603b</x:v>
      </x:c>
      <x:c r="J427" s="36" t="str">
        <x:v>CTX_4e6fcf72-daf3-439f-a232-c434ce416af6</x:v>
      </x:c>
      <x:c r="K427" s="36" t="str">
        <x:v>MTM_4e6fcf72-daf3-439f-a232-c434ce416af6</x:v>
      </x:c>
      <x:c r="L427" s="36" t="str"/>
      <x:c r="M427" s="36" t="str">
        <x:v>STM_4172ea6e-6b77-4edb-a9cc-c0014bd1603b</x:v>
      </x:c>
      <x:c r="N427" s="36" t="str">
        <x:v>知识</x:v>
      </x:c>
      <x:c r="O427" s="36" t="str">
        <x:v>中期</x:v>
      </x:c>
      <x:c r="P427" s="36" t="str">
        <x:v>["libreoffice_calc"]</x:v>
      </x:c>
      <x:c r="Q427" s="36" t="str">
        <x:v>[{"step_id":"S1","app":"libreoffice_calc","action_key":"calculate_employee_ages","input_artifacts":["Employee_Age_By_Birthday.xlsx"],"output_artifacts":["Employee_Age_By_Birthday.xlsx"],"depends_on":[]}]</x:v>
      </x:c>
      <x:c r="R427" s="36" t="str">
        <x:v>[]</x:v>
      </x:c>
      <x:c r="S427" s="36" t="str">
        <x:v>calculate_employee_ages</x:v>
      </x:c>
      <x:c r="T427" s="36" t="str">
        <x:v>Employee_Age_By_Birthday.xlsx</x:v>
      </x:c>
      <x:c r="U427" s="36" t="str">
        <x:v>retrieve_and_execute</x:v>
      </x:c>
      <x:c r="V427" s="36" t="str">
        <x:v>[{"point_id":"P1","description":"在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x:v>
      </x:c>
      <x:c r="W427" s="36" t="str">
        <x:v>1.00</x:v>
      </x:c>
      <x:c r="X427" s="39" t="str">
        <x:v>我正在处理这份表，按之前确认的这一版来：在 Employee_Age_By_Birthday.xlsx 中根据每位员工的生日计算对应年龄并填入目标区域。</x:v>
      </x:c>
      <x:c r="Y427" s="39" t="str">
        <x:v>第1条记忆（中期/知识）：在 Employee_Age_By_Birthday.xlsx 中根据每位员工的生日计算对应年龄并填入目标区域。关键约束：覆盖所有员工；依据生日计算；不修改无关区域或其他空白单元格。</x:v>
      </x:c>
      <x:c r="Z427" s="39" t="str">
        <x:v>不适用：当前题目不存在需要用户进一步选择的候选记忆。</x:v>
      </x:c>
      <x:c r="AA427" s="39" t="str">
        <x:v>第1条记忆（短期/知识）：在 MaturityDate.xlsx 新增 Maturity Date 列，根据每笔贷款已有的日期和期限信息计算全部贷款的到期日。关键约束：新列标题必须为 Maturity Date；覆盖所有贷款记录；保留原始列。</x:v>
      </x:c>
      <x:c r="AB427" s="39" t="str">
        <x:v>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C427" s="39" t="str">
        <x:v>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x:v>
      </x:c>
      <x:c r="AD427" s="39" t="str">
        <x:v>用户的完整请求是：“我正在处理这份表，按之前确认的这一版来：在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E427" s="39" t="str">
        <x:v>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427" s="50" t="str">
        <x:v>not_pass</x:v>
      </x:c>
      <x:c r="AG427" s="50" t="n">
        <x:v>0</x:v>
      </x:c>
    </x:row>
    <x:row r="428" ht="175.5" customHeight="1">
      <x:c r="A428" s="35" t="str">
        <x:v>V3_CF10_Q02</x:v>
      </x:c>
      <x:c r="B428" s="36" t="str">
        <x:v>SG_CONFLICT_CF10</x:v>
      </x:c>
      <x:c r="C428" s="36" t="str">
        <x:v>CF10</x:v>
      </x:c>
      <x:c r="D428" s="36" t="str">
        <x:v>员工年龄与贷款日期硬负例</x:v>
      </x:c>
      <x:c r="E428" s="36" t="str">
        <x:v>conflict_resolution</x:v>
      </x:c>
      <x:c r="F428" s="36" t="str">
        <x:v>human_goal_oriented</x:v>
      </x:c>
      <x:c r="G428" s="36" t="str">
        <x:v>challenge</x:v>
      </x:c>
      <x:c r="H428" s="36" t="str">
        <x:v>困难</x:v>
      </x:c>
      <x:c r="I428" s="36" t="str">
        <x:v>4e6fcf72-daf3-439f-a232-c434ce416af6|4172ea6e-6b77-4edb-a9cc-c0014bd1603b</x:v>
      </x:c>
      <x:c r="J428" s="36" t="str">
        <x:v>CTX_4e6fcf72-daf3-439f-a232-c434ce416af6</x:v>
      </x:c>
      <x:c r="K428" s="36" t="str">
        <x:v>MTM_4e6fcf72-daf3-439f-a232-c434ce416af6</x:v>
      </x:c>
      <x:c r="L428" s="36" t="str"/>
      <x:c r="M428" s="36" t="str">
        <x:v>STM_4172ea6e-6b77-4edb-a9cc-c0014bd1603b</x:v>
      </x:c>
      <x:c r="N428" s="36" t="str">
        <x:v>知识</x:v>
      </x:c>
      <x:c r="O428" s="36" t="str">
        <x:v>中期</x:v>
      </x:c>
      <x:c r="P428" s="36" t="str">
        <x:v>["libreoffice_calc"]</x:v>
      </x:c>
      <x:c r="Q428" s="36" t="str">
        <x:v>[{"step_id":"S1","app":"libreoffice_calc","action_key":"calculate_employee_ages","input_artifacts":["Employee_Age_By_Birthday.xlsx"],"output_artifacts":["Employee_Age_By_Birthday.xlsx"],"depends_on":[]}]</x:v>
      </x:c>
      <x:c r="R428" s="36" t="str">
        <x:v>[]</x:v>
      </x:c>
      <x:c r="S428" s="36" t="str">
        <x:v>calculate_employee_ages</x:v>
      </x:c>
      <x:c r="T428" s="36" t="str">
        <x:v>Employee_Age_By_Birthday.xlsx</x:v>
      </x:c>
      <x:c r="U428" s="36" t="str">
        <x:v>retrieve_and_execute</x:v>
      </x:c>
      <x:c r="V428" s="36" t="str">
        <x:v>[{"point_id":"P1","description":"在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x:v>
      </x:c>
      <x:c r="W428" s="36" t="str">
        <x:v>1.00</x:v>
      </x:c>
      <x:c r="X428" s="39" t="str">
        <x:v>这次只做下面这个结果，别套用相似任务的做法：在 Employee_Age_By_Birthday.xlsx 中根据每位员工的生日计算对应年龄并填入目标区域。</x:v>
      </x:c>
      <x:c r="Y428" s="39" t="str">
        <x:v>第1条记忆（中期/知识）：在 Employee_Age_By_Birthday.xlsx 中根据每位员工的生日计算对应年龄并填入目标区域。关键约束：覆盖所有员工；依据生日计算；不修改无关区域或其他空白单元格。</x:v>
      </x:c>
      <x:c r="Z428" s="39" t="str">
        <x:v>不适用：当前题目不存在需要用户进一步选择的候选记忆。</x:v>
      </x:c>
      <x:c r="AA428" s="39" t="str">
        <x:v>第1条记忆（短期/知识）：在 MaturityDate.xlsx 新增 Maturity Date 列，根据每笔贷款已有的日期和期限信息计算全部贷款的到期日。关键约束：新列标题必须为 Maturity Date；覆盖所有贷款记录；保留原始列。</x:v>
      </x:c>
      <x:c r="AB428" s="39" t="str">
        <x:v>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C428" s="39" t="str">
        <x:v>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x:v>
      </x:c>
      <x:c r="AD428" s="39" t="str">
        <x:v>用户的完整请求是：“这次只做下面这个结果，别套用相似任务的做法：在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E428" s="39" t="str">
        <x:v>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428" s="50" t="str">
        <x:v>not_pass</x:v>
      </x:c>
      <x:c r="AG428" s="50" t="n">
        <x:v>0</x:v>
      </x:c>
    </x:row>
    <x:row r="429" ht="175.5" customHeight="1">
      <x:c r="A429" s="35" t="str">
        <x:v>V3_CF10_Q03</x:v>
      </x:c>
      <x:c r="B429" s="36" t="str">
        <x:v>SG_CONFLICT_CF10</x:v>
      </x:c>
      <x:c r="C429" s="36" t="str">
        <x:v>CF10</x:v>
      </x:c>
      <x:c r="D429" s="36" t="str">
        <x:v>员工年龄与贷款日期硬负例</x:v>
      </x:c>
      <x:c r="E429" s="36" t="str">
        <x:v>conflict_resolution</x:v>
      </x:c>
      <x:c r="F429" s="36" t="str">
        <x:v>contextual_ellipsis</x:v>
      </x:c>
      <x:c r="G429" s="36" t="str">
        <x:v>challenge</x:v>
      </x:c>
      <x:c r="H429" s="36" t="str">
        <x:v>困难</x:v>
      </x:c>
      <x:c r="I429" s="36" t="str">
        <x:v>4e6fcf72-daf3-439f-a232-c434ce416af6|4172ea6e-6b77-4edb-a9cc-c0014bd1603b</x:v>
      </x:c>
      <x:c r="J429" s="36" t="str">
        <x:v>CTX_4e6fcf72-daf3-439f-a232-c434ce416af6</x:v>
      </x:c>
      <x:c r="K429" s="36" t="str">
        <x:v>MTM_4e6fcf72-daf3-439f-a232-c434ce416af6</x:v>
      </x:c>
      <x:c r="L429" s="36" t="str"/>
      <x:c r="M429" s="36" t="str">
        <x:v>STM_4172ea6e-6b77-4edb-a9cc-c0014bd1603b</x:v>
      </x:c>
      <x:c r="N429" s="36" t="str">
        <x:v>知识</x:v>
      </x:c>
      <x:c r="O429" s="36" t="str">
        <x:v>中期</x:v>
      </x:c>
      <x:c r="P429" s="36" t="str">
        <x:v>["libreoffice_calc"]</x:v>
      </x:c>
      <x:c r="Q429" s="36" t="str">
        <x:v>[{"step_id":"S1","app":"libreoffice_calc","action_key":"calculate_employee_ages","input_artifacts":["Employee_Age_By_Birthday.xlsx"],"output_artifacts":["Employee_Age_By_Birthday.xlsx"],"depends_on":[]}]</x:v>
      </x:c>
      <x:c r="R429" s="36" t="str">
        <x:v>[]</x:v>
      </x:c>
      <x:c r="S429" s="36" t="str">
        <x:v>calculate_employee_ages</x:v>
      </x:c>
      <x:c r="T429" s="36" t="str">
        <x:v>Employee_Age_By_Birthday.xlsx</x:v>
      </x:c>
      <x:c r="U429" s="36" t="str">
        <x:v>retrieve_and_execute</x:v>
      </x:c>
      <x:c r="V429" s="36" t="str">
        <x:v>[{"point_id":"P1","description":"在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x:v>
      </x:c>
      <x:c r="W429" s="36" t="str">
        <x:v>1.00</x:v>
      </x:c>
      <x:c r="X429" s="39" t="str">
        <x:v>文件已经打开了，我要的是这套处理：在 Employee_Age_By_Birthday.xlsx 中根据每位员工的生日计算对应年龄并填入目标区域。</x:v>
      </x:c>
      <x:c r="Y429" s="39" t="str">
        <x:v>第1条记忆（中期/知识）：在 Employee_Age_By_Birthday.xlsx 中根据每位员工的生日计算对应年龄并填入目标区域。关键约束：覆盖所有员工；依据生日计算；不修改无关区域或其他空白单元格。</x:v>
      </x:c>
      <x:c r="Z429" s="39" t="str">
        <x:v>不适用：当前题目不存在需要用户进一步选择的候选记忆。</x:v>
      </x:c>
      <x:c r="AA429" s="39" t="str">
        <x:v>第1条记忆（短期/知识）：在 MaturityDate.xlsx 新增 Maturity Date 列，根据每笔贷款已有的日期和期限信息计算全部贷款的到期日。关键约束：新列标题必须为 Maturity Date；覆盖所有贷款记录；保留原始列。</x:v>
      </x:c>
      <x:c r="AB429" s="39" t="str">
        <x:v>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C429" s="39" t="str">
        <x:v>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x:v>
      </x:c>
      <x:c r="AD429" s="39" t="str">
        <x:v>用户的完整请求是：“文件已经打开了，我要的是这套处理：在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E429" s="39" t="str">
        <x:v>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429" s="50" t="str">
        <x:v>not_pass</x:v>
      </x:c>
      <x:c r="AG429" s="50" t="n">
        <x:v>0</x:v>
      </x:c>
    </x:row>
    <x:row r="430" ht="175.5" customHeight="1">
      <x:c r="A430" s="35" t="str">
        <x:v>V3_CF10_Q04</x:v>
      </x:c>
      <x:c r="B430" s="36" t="str">
        <x:v>SG_CONFLICT_CF10</x:v>
      </x:c>
      <x:c r="C430" s="36" t="str">
        <x:v>CF10</x:v>
      </x:c>
      <x:c r="D430" s="36" t="str">
        <x:v>员工年龄与贷款日期硬负例</x:v>
      </x:c>
      <x:c r="E430" s="36" t="str">
        <x:v>conflict_resolution</x:v>
      </x:c>
      <x:c r="F430" s="36" t="str">
        <x:v>low_overlap_paraphrase</x:v>
      </x:c>
      <x:c r="G430" s="36" t="str">
        <x:v>challenge</x:v>
      </x:c>
      <x:c r="H430" s="36" t="str">
        <x:v>困难</x:v>
      </x:c>
      <x:c r="I430" s="36" t="str">
        <x:v>4e6fcf72-daf3-439f-a232-c434ce416af6|4172ea6e-6b77-4edb-a9cc-c0014bd1603b</x:v>
      </x:c>
      <x:c r="J430" s="36" t="str">
        <x:v>CTX_4e6fcf72-daf3-439f-a232-c434ce416af6</x:v>
      </x:c>
      <x:c r="K430" s="36" t="str">
        <x:v>MTM_4e6fcf72-daf3-439f-a232-c434ce416af6</x:v>
      </x:c>
      <x:c r="L430" s="36" t="str"/>
      <x:c r="M430" s="36" t="str">
        <x:v>STM_4172ea6e-6b77-4edb-a9cc-c0014bd1603b</x:v>
      </x:c>
      <x:c r="N430" s="36" t="str">
        <x:v>知识</x:v>
      </x:c>
      <x:c r="O430" s="36" t="str">
        <x:v>中期</x:v>
      </x:c>
      <x:c r="P430" s="36" t="str">
        <x:v>["libreoffice_calc"]</x:v>
      </x:c>
      <x:c r="Q430" s="36" t="str">
        <x:v>[{"step_id":"S1","app":"libreoffice_calc","action_key":"calculate_employee_ages","input_artifacts":["Employee_Age_By_Birthday.xlsx"],"output_artifacts":["Employee_Age_By_Birthday.xlsx"],"depends_on":[]}]</x:v>
      </x:c>
      <x:c r="R430" s="36" t="str">
        <x:v>[]</x:v>
      </x:c>
      <x:c r="S430" s="36" t="str">
        <x:v>calculate_employee_ages</x:v>
      </x:c>
      <x:c r="T430" s="36" t="str">
        <x:v>Employee_Age_By_Birthday.xlsx</x:v>
      </x:c>
      <x:c r="U430" s="36" t="str">
        <x:v>retrieve_and_execute</x:v>
      </x:c>
      <x:c r="V430" s="36" t="str">
        <x:v>[{"point_id":"P1","description":"在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x:v>
      </x:c>
      <x:c r="W430" s="36" t="str">
        <x:v>1.00</x:v>
      </x:c>
      <x:c r="X430" s="39" t="str">
        <x:v>前面的相似方案先不要用，当前目标是：在 Employee_Age_By_Birthday.xlsx 中根据每位员工的生日计算对应年龄并填入目标区域。</x:v>
      </x:c>
      <x:c r="Y430" s="39" t="str">
        <x:v>第1条记忆（中期/知识）：在 Employee_Age_By_Birthday.xlsx 中根据每位员工的生日计算对应年龄并填入目标区域。关键约束：覆盖所有员工；依据生日计算；不修改无关区域或其他空白单元格。</x:v>
      </x:c>
      <x:c r="Z430" s="39" t="str">
        <x:v>不适用：当前题目不存在需要用户进一步选择的候选记忆。</x:v>
      </x:c>
      <x:c r="AA430" s="39" t="str">
        <x:v>第1条记忆（短期/知识）：在 MaturityDate.xlsx 新增 Maturity Date 列，根据每笔贷款已有的日期和期限信息计算全部贷款的到期日。关键约束：新列标题必须为 Maturity Date；覆盖所有贷款记录；保留原始列。</x:v>
      </x:c>
      <x:c r="AB430" s="39" t="str">
        <x:v>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C430" s="39" t="str">
        <x:v>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x:v>
      </x:c>
      <x:c r="AD430" s="39" t="str">
        <x:v>用户的完整请求是：“前面的相似方案先不要用，当前目标是：在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E430" s="39" t="str">
        <x:v>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430" s="50" t="str">
        <x:v>not_pass</x:v>
      </x:c>
      <x:c r="AG430" s="50" t="n">
        <x:v>0</x:v>
      </x:c>
    </x:row>
    <x:row r="431" ht="175.5" customHeight="1">
      <x:c r="A431" s="35" t="str">
        <x:v>V3_CF10_Q05</x:v>
      </x:c>
      <x:c r="B431" s="36" t="str">
        <x:v>SG_CONFLICT_CF10</x:v>
      </x:c>
      <x:c r="C431" s="36" t="str">
        <x:v>CF10</x:v>
      </x:c>
      <x:c r="D431" s="36" t="str">
        <x:v>员工年龄与贷款日期硬负例</x:v>
      </x:c>
      <x:c r="E431" s="36" t="str">
        <x:v>conflict_resolution</x:v>
      </x:c>
      <x:c r="F431" s="36" t="str">
        <x:v>human_constraint_emphasis</x:v>
      </x:c>
      <x:c r="G431" s="36" t="str">
        <x:v>challenge</x:v>
      </x:c>
      <x:c r="H431" s="36" t="str">
        <x:v>困难</x:v>
      </x:c>
      <x:c r="I431" s="36" t="str">
        <x:v>4e6fcf72-daf3-439f-a232-c434ce416af6|4172ea6e-6b77-4edb-a9cc-c0014bd1603b</x:v>
      </x:c>
      <x:c r="J431" s="36" t="str">
        <x:v>CTX_4e6fcf72-daf3-439f-a232-c434ce416af6</x:v>
      </x:c>
      <x:c r="K431" s="36" t="str">
        <x:v>MTM_4e6fcf72-daf3-439f-a232-c434ce416af6</x:v>
      </x:c>
      <x:c r="L431" s="36" t="str"/>
      <x:c r="M431" s="36" t="str">
        <x:v>STM_4172ea6e-6b77-4edb-a9cc-c0014bd1603b</x:v>
      </x:c>
      <x:c r="N431" s="36" t="str">
        <x:v>知识</x:v>
      </x:c>
      <x:c r="O431" s="36" t="str">
        <x:v>中期</x:v>
      </x:c>
      <x:c r="P431" s="36" t="str">
        <x:v>["libreoffice_calc"]</x:v>
      </x:c>
      <x:c r="Q431" s="36" t="str">
        <x:v>[{"step_id":"S1","app":"libreoffice_calc","action_key":"calculate_employee_ages","input_artifacts":["Employee_Age_By_Birthday.xlsx"],"output_artifacts":["Employee_Age_By_Birthday.xlsx"],"depends_on":[]}]</x:v>
      </x:c>
      <x:c r="R431" s="36" t="str">
        <x:v>[]</x:v>
      </x:c>
      <x:c r="S431" s="36" t="str">
        <x:v>calculate_employee_ages</x:v>
      </x:c>
      <x:c r="T431" s="36" t="str">
        <x:v>Employee_Age_By_Birthday.xlsx</x:v>
      </x:c>
      <x:c r="U431" s="36" t="str">
        <x:v>retrieve_and_execute</x:v>
      </x:c>
      <x:c r="V431" s="36" t="str">
        <x:v>[{"point_id":"P1","description":"在 Employee_Age_By_Birthday.xlsx 中根据每位员工的生日计算对应年龄并填入目标区域。","weight":0.8,"evidence_memory_ids":["MTM_4e6fcf72-daf3-439f-a232-c434ce416af6"]},{"point_id":"P2","description":"不采用禁止记忆中的冲突操作，且不让错误方案替代必需结论","weight":0.2,"evidence_memory_ids":["MTM_4e6fcf72-daf3-439f-a232-c434ce416af6","STM_4172ea6e-6b77-4edb-a9cc-c0014bd1603b"]}]</x:v>
      </x:c>
      <x:c r="W431" s="36" t="str">
        <x:v>1.00</x:v>
      </x:c>
      <x:c r="X431" s="39" t="str">
        <x:v>为了避免选错历史记录，我把要求再说一遍：在 Employee_Age_By_Birthday.xlsx 中根据每位员工的生日计算对应年龄并填入目标区域。</x:v>
      </x:c>
      <x:c r="Y431" s="39" t="str">
        <x:v>第1条记忆（中期/知识）：在 Employee_Age_By_Birthday.xlsx 中根据每位员工的生日计算对应年龄并填入目标区域。关键约束：覆盖所有员工；依据生日计算；不修改无关区域或其他空白单元格。</x:v>
      </x:c>
      <x:c r="Z431" s="39" t="str">
        <x:v>不适用：当前题目不存在需要用户进一步选择的候选记忆。</x:v>
      </x:c>
      <x:c r="AA431" s="39" t="str">
        <x:v>第1条记忆（短期/知识）：在 MaturityDate.xlsx 新增 Maturity Date 列，根据每笔贷款已有的日期和期限信息计算全部贷款的到期日。关键约束：新列标题必须为 Maturity Date；覆盖所有贷款记录；保留原始列。</x:v>
      </x:c>
      <x:c r="AB431" s="39" t="str">
        <x:v>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C431" s="39" t="str">
        <x:v>第1项实际操作：在 Employee_Age_By_Birthday.xlsx 中根据每位员工的生日计算对应年龄并填入目标区域。执行时必须满足：覆盖所有员工；依据生日计算；不修改无关区域或其他空白单元格。 第1项禁止操作：在 MaturityDate.xlsx 新增 Maturity Date 列，根据每笔贷款已有的日期和期限信息计算全部贷款的到期日。该操作不得替代或混入当前执行结果。</x:v>
      </x:c>
      <x:c r="AD431" s="39" t="str">
        <x:v>用户的完整请求是：“为了避免选错历史记录，我把要求再说一遍：在 Employee_Age_By_Birthday.xlsx 中根据每位员工的生日计算对应年龄并填入目标区域。” 第1个当前上下文：Employee_Age_By_Birthday.xlsx 已在 LibreOffice Calc 中打开。 与当前请求一致、应当调用的完整记忆如下：
第1条记忆（中期/知识）：在 Employee_Age_By_Birthday.xlsx 中根据每位员工的生日计算对应年龄并填入目标区域。关键约束：覆盖所有员工；依据生日计算；不修改无关区域或其他空白单元格。
这些记忆描述的目标文件、操作对象、处理方式和输出结果与 Query 中明确表达的当前要求一致。与此同时，记忆库中还存在以下容易造成误检的完整禁止记忆：
第1条记忆（短期/知识）：在 MaturityDate.xlsx 新增 Maturity Date 列，根据每笔贷款已有的日期和期限信息计算全部贷款的到期日。关键约束：新列标题必须为 Maturity Date；覆盖所有贷款记录；保留原始列。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Employee_Age_By_Birthday.xlsx 中根据每位员工的生日计算对应年龄并填入目标区域。同时明确不得采用以下相似但不符合当前要求的方案：在 MaturityDate.xlsx 新增 Maturity Date 列，根据每笔贷款已有的日期和期限信息计算全部贷款的到期日。”</x:v>
      </x:c>
      <x:c r="AE431" s="39" t="str">
        <x:v>本题总分为 1.00 分，各得分点独立累计，允许语义等价表达，不要求模型输出记忆 ID，也不要求逐字复述记忆原文。
第1个得分点（0.80分）：在 Employee_Age_By_Birthday.xlsx 中根据每位员工的生日计算对应年龄并填入目标区域。该得分点所依据的完整证据为：
第1条记忆（中期/知识）：在 Employee_Age_By_Birthday.xlsx 中根据每位员工的生日计算对应年龄并填入目标区域。关键约束：覆盖所有员工；依据生日计算；不修改无关区域或其他空白单元格。
第2个得分点（0.20分）：不采用禁止记忆中的冲突操作，且不让错误方案替代必需结论。该得分点所依据的完整证据为：
第1条记忆（中期/知识）：在 Employee_Age_By_Birthday.xlsx 中根据每位员工的生日计算对应年龄并填入目标区域。关键约束：覆盖所有员工；依据生日计算；不修改无关区域或其他空白单元格。
第2条记忆（短期/知识）：在 MaturityDate.xlsx 新增 Maturity Date 列，根据每笔贷款已有的日期和期限信息计算全部贷款的到期日。关键约束：新列标题必须为 Maturity Date；覆盖所有贷款记录；保留原始列。
人工复审时，应依据模型最终给出的信息和实际操作是否满足上述每个得分点分别给分；只命中记忆 ID 但没有形成对应结论不能获得该结论分，形成了正确结论但表达方式不同则不应扣分。</x:v>
      </x:c>
      <x:c r="AF431" s="50" t="str">
        <x:v>not_pass</x:v>
      </x:c>
      <x:c r="AG431" s="50" t="n">
        <x:v>0</x:v>
      </x:c>
    </x:row>
    <x:row r="432" ht="189" customHeight="1">
      <x:c r="A432" s="35" t="str">
        <x:v>V3_CF11_Q01</x:v>
      </x:c>
      <x:c r="B432" s="36" t="str">
        <x:v>SG_CONFLICT_CF11</x:v>
      </x:c>
      <x:c r="C432" s="36" t="str">
        <x:v>CF11</x:v>
      </x:c>
      <x:c r="D432" s="36" t="str">
        <x:v>CSV 与 PDF 导出硬负例</x:v>
      </x:c>
      <x:c r="E432" s="36" t="str">
        <x:v>conflict_resolution</x:v>
      </x:c>
      <x:c r="F432" s="36" t="str">
        <x:v>human_context_explicit</x:v>
      </x:c>
      <x:c r="G432" s="36" t="str">
        <x:v>challenge</x:v>
      </x:c>
      <x:c r="H432" s="36" t="str">
        <x:v>困难</x:v>
      </x:c>
      <x:c r="I432" s="36" t="str">
        <x:v>3aaa4e37-dc91-482e-99af-132a612d40f3|aa3a8974-2e85-438b-b29e-a64df44deb4b</x:v>
      </x:c>
      <x:c r="J432" s="36" t="str">
        <x:v>CTX_3aaa4e37-dc91-482e-99af-132a612d40f3</x:v>
      </x:c>
      <x:c r="K432" s="36" t="str">
        <x:v>STM_3aaa4e37-dc91-482e-99af-132a612d40f3</x:v>
      </x:c>
      <x:c r="L432" s="36" t="str"/>
      <x:c r="M432" s="36" t="str">
        <x:v>STM_aa3a8974-2e85-438b-b29e-a64df44deb4b</x:v>
      </x:c>
      <x:c r="N432" s="36" t="str">
        <x:v>工作流程</x:v>
      </x:c>
      <x:c r="O432" s="36" t="str">
        <x:v>短期</x:v>
      </x:c>
      <x:c r="P432" s="36" t="str">
        <x:v>["libreoffice_calc"]</x:v>
      </x:c>
      <x:c r="Q432" s="36" t="str">
        <x:v>[{"step_id":"S1","app":"libreoffice_calc","action_key":"export_current_sheet_to_csv","input_artifacts":["Export_Calc_to_CSV.xlsx"],"output_artifacts":["Export_Calc_to_CSV.csv"],"depends_on":[]}]</x:v>
      </x:c>
      <x:c r="R432" s="36" t="str">
        <x:v>[]</x:v>
      </x:c>
      <x:c r="S432" s="36" t="str">
        <x:v>export_current_sheet_to_csv</x:v>
      </x:c>
      <x:c r="T432" s="36" t="str">
        <x:v>Export_Calc_to_CSV.xlsx</x:v>
      </x:c>
      <x:c r="U432" s="36" t="str">
        <x:v>retrieve_and_execute</x:v>
      </x:c>
      <x:c r="V432" s="36" t="str">
        <x:v>[{"point_id":"P1","description":"把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x:v>
      </x:c>
      <x:c r="W432" s="36" t="str">
        <x:v>1.00</x:v>
      </x:c>
      <x:c r="X432" s="39" t="str">
        <x:v>我正在处理这份表，按之前确认的这一版来：把 Export_Calc_to_CSV.xlsx 当前工作表按屏幕显示内容导出为默认格式的 CSV，其他导出选项保持不变，CSV 与原 XLSX 使用相同的主文件名。</x:v>
      </x:c>
      <x:c r="Y432"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432" s="39" t="str">
        <x:v>不适用：当前题目不存在需要用户进一步选择的候选记忆。</x:v>
      </x:c>
      <x:c r="AA432"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AB432" s="39" t="str">
        <x:v>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C432"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x:v>
      </x:c>
      <x:c r="AD432" s="39" t="str">
        <x:v>用户的完整请求是：“我正在处理这份表，按之前确认的这一版来：把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E432" s="39" t="str">
        <x:v>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432" s="50" t="str">
        <x:v>not_pass</x:v>
      </x:c>
      <x:c r="AG432" s="50" t="n">
        <x:v>0</x:v>
      </x:c>
    </x:row>
    <x:row r="433" ht="189" customHeight="1">
      <x:c r="A433" s="35" t="str">
        <x:v>V3_CF11_Q02</x:v>
      </x:c>
      <x:c r="B433" s="36" t="str">
        <x:v>SG_CONFLICT_CF11</x:v>
      </x:c>
      <x:c r="C433" s="36" t="str">
        <x:v>CF11</x:v>
      </x:c>
      <x:c r="D433" s="36" t="str">
        <x:v>CSV 与 PDF 导出硬负例</x:v>
      </x:c>
      <x:c r="E433" s="36" t="str">
        <x:v>conflict_resolution</x:v>
      </x:c>
      <x:c r="F433" s="36" t="str">
        <x:v>human_goal_oriented</x:v>
      </x:c>
      <x:c r="G433" s="36" t="str">
        <x:v>challenge</x:v>
      </x:c>
      <x:c r="H433" s="36" t="str">
        <x:v>困难</x:v>
      </x:c>
      <x:c r="I433" s="36" t="str">
        <x:v>3aaa4e37-dc91-482e-99af-132a612d40f3|aa3a8974-2e85-438b-b29e-a64df44deb4b</x:v>
      </x:c>
      <x:c r="J433" s="36" t="str">
        <x:v>CTX_3aaa4e37-dc91-482e-99af-132a612d40f3</x:v>
      </x:c>
      <x:c r="K433" s="36" t="str">
        <x:v>STM_3aaa4e37-dc91-482e-99af-132a612d40f3</x:v>
      </x:c>
      <x:c r="L433" s="36" t="str"/>
      <x:c r="M433" s="36" t="str">
        <x:v>STM_aa3a8974-2e85-438b-b29e-a64df44deb4b</x:v>
      </x:c>
      <x:c r="N433" s="36" t="str">
        <x:v>工作流程</x:v>
      </x:c>
      <x:c r="O433" s="36" t="str">
        <x:v>短期</x:v>
      </x:c>
      <x:c r="P433" s="36" t="str">
        <x:v>["libreoffice_calc"]</x:v>
      </x:c>
      <x:c r="Q433" s="36" t="str">
        <x:v>[{"step_id":"S1","app":"libreoffice_calc","action_key":"export_current_sheet_to_csv","input_artifacts":["Export_Calc_to_CSV.xlsx"],"output_artifacts":["Export_Calc_to_CSV.csv"],"depends_on":[]}]</x:v>
      </x:c>
      <x:c r="R433" s="36" t="str">
        <x:v>[]</x:v>
      </x:c>
      <x:c r="S433" s="36" t="str">
        <x:v>export_current_sheet_to_csv</x:v>
      </x:c>
      <x:c r="T433" s="36" t="str">
        <x:v>Export_Calc_to_CSV.xlsx</x:v>
      </x:c>
      <x:c r="U433" s="36" t="str">
        <x:v>retrieve_and_execute</x:v>
      </x:c>
      <x:c r="V433" s="36" t="str">
        <x:v>[{"point_id":"P1","description":"把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x:v>
      </x:c>
      <x:c r="W433" s="36" t="str">
        <x:v>1.00</x:v>
      </x:c>
      <x:c r="X433" s="39" t="str">
        <x:v>这次只做下面这个结果，别套用相似任务的做法：把 Export_Calc_to_CSV.xlsx 当前工作表按屏幕显示内容导出为默认格式的 CSV，其他导出选项保持不变，CSV 与原 XLSX 使用相同的主文件名。</x:v>
      </x:c>
      <x:c r="Y433"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433" s="39" t="str">
        <x:v>不适用：当前题目不存在需要用户进一步选择的候选记忆。</x:v>
      </x:c>
      <x:c r="AA433"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AB433" s="39" t="str">
        <x:v>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C433"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x:v>
      </x:c>
      <x:c r="AD433" s="39" t="str">
        <x:v>用户的完整请求是：“这次只做下面这个结果，别套用相似任务的做法：把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E433" s="39" t="str">
        <x:v>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433" s="50" t="str">
        <x:v>not_pass</x:v>
      </x:c>
      <x:c r="AG433" s="50" t="n">
        <x:v>0</x:v>
      </x:c>
    </x:row>
    <x:row r="434" ht="189" customHeight="1">
      <x:c r="A434" s="35" t="str">
        <x:v>V3_CF11_Q03</x:v>
      </x:c>
      <x:c r="B434" s="36" t="str">
        <x:v>SG_CONFLICT_CF11</x:v>
      </x:c>
      <x:c r="C434" s="36" t="str">
        <x:v>CF11</x:v>
      </x:c>
      <x:c r="D434" s="36" t="str">
        <x:v>CSV 与 PDF 导出硬负例</x:v>
      </x:c>
      <x:c r="E434" s="36" t="str">
        <x:v>conflict_resolution</x:v>
      </x:c>
      <x:c r="F434" s="36" t="str">
        <x:v>contextual_ellipsis</x:v>
      </x:c>
      <x:c r="G434" s="36" t="str">
        <x:v>challenge</x:v>
      </x:c>
      <x:c r="H434" s="36" t="str">
        <x:v>困难</x:v>
      </x:c>
      <x:c r="I434" s="36" t="str">
        <x:v>3aaa4e37-dc91-482e-99af-132a612d40f3|aa3a8974-2e85-438b-b29e-a64df44deb4b</x:v>
      </x:c>
      <x:c r="J434" s="36" t="str">
        <x:v>CTX_3aaa4e37-dc91-482e-99af-132a612d40f3</x:v>
      </x:c>
      <x:c r="K434" s="36" t="str">
        <x:v>STM_3aaa4e37-dc91-482e-99af-132a612d40f3</x:v>
      </x:c>
      <x:c r="L434" s="36" t="str"/>
      <x:c r="M434" s="36" t="str">
        <x:v>STM_aa3a8974-2e85-438b-b29e-a64df44deb4b</x:v>
      </x:c>
      <x:c r="N434" s="36" t="str">
        <x:v>工作流程</x:v>
      </x:c>
      <x:c r="O434" s="36" t="str">
        <x:v>短期</x:v>
      </x:c>
      <x:c r="P434" s="36" t="str">
        <x:v>["libreoffice_calc"]</x:v>
      </x:c>
      <x:c r="Q434" s="36" t="str">
        <x:v>[{"step_id":"S1","app":"libreoffice_calc","action_key":"export_current_sheet_to_csv","input_artifacts":["Export_Calc_to_CSV.xlsx"],"output_artifacts":["Export_Calc_to_CSV.csv"],"depends_on":[]}]</x:v>
      </x:c>
      <x:c r="R434" s="36" t="str">
        <x:v>[]</x:v>
      </x:c>
      <x:c r="S434" s="36" t="str">
        <x:v>export_current_sheet_to_csv</x:v>
      </x:c>
      <x:c r="T434" s="36" t="str">
        <x:v>Export_Calc_to_CSV.xlsx</x:v>
      </x:c>
      <x:c r="U434" s="36" t="str">
        <x:v>retrieve_and_execute</x:v>
      </x:c>
      <x:c r="V434" s="36" t="str">
        <x:v>[{"point_id":"P1","description":"把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x:v>
      </x:c>
      <x:c r="W434" s="36" t="str">
        <x:v>1.00</x:v>
      </x:c>
      <x:c r="X434" s="39" t="str">
        <x:v>文件已经打开了，我要的是这套处理：把 Export_Calc_to_CSV.xlsx 当前工作表按屏幕显示内容导出为默认格式的 CSV，其他导出选项保持不变，CSV 与原 XLSX 使用相同的主文件名。</x:v>
      </x:c>
      <x:c r="Y434"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434" s="39" t="str">
        <x:v>不适用：当前题目不存在需要用户进一步选择的候选记忆。</x:v>
      </x:c>
      <x:c r="AA434"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AB434" s="39" t="str">
        <x:v>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C434"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x:v>
      </x:c>
      <x:c r="AD434" s="39" t="str">
        <x:v>用户的完整请求是：“文件已经打开了，我要的是这套处理：把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E434" s="39" t="str">
        <x:v>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434" s="50" t="str">
        <x:v>not_pass</x:v>
      </x:c>
      <x:c r="AG434" s="50" t="n">
        <x:v>0</x:v>
      </x:c>
    </x:row>
    <x:row r="435" ht="189" customHeight="1">
      <x:c r="A435" s="35" t="str">
        <x:v>V3_CF11_Q04</x:v>
      </x:c>
      <x:c r="B435" s="36" t="str">
        <x:v>SG_CONFLICT_CF11</x:v>
      </x:c>
      <x:c r="C435" s="36" t="str">
        <x:v>CF11</x:v>
      </x:c>
      <x:c r="D435" s="36" t="str">
        <x:v>CSV 与 PDF 导出硬负例</x:v>
      </x:c>
      <x:c r="E435" s="36" t="str">
        <x:v>conflict_resolution</x:v>
      </x:c>
      <x:c r="F435" s="36" t="str">
        <x:v>low_overlap_paraphrase</x:v>
      </x:c>
      <x:c r="G435" s="36" t="str">
        <x:v>challenge</x:v>
      </x:c>
      <x:c r="H435" s="36" t="str">
        <x:v>困难</x:v>
      </x:c>
      <x:c r="I435" s="36" t="str">
        <x:v>3aaa4e37-dc91-482e-99af-132a612d40f3|aa3a8974-2e85-438b-b29e-a64df44deb4b</x:v>
      </x:c>
      <x:c r="J435" s="36" t="str">
        <x:v>CTX_3aaa4e37-dc91-482e-99af-132a612d40f3</x:v>
      </x:c>
      <x:c r="K435" s="36" t="str">
        <x:v>STM_3aaa4e37-dc91-482e-99af-132a612d40f3</x:v>
      </x:c>
      <x:c r="L435" s="36" t="str"/>
      <x:c r="M435" s="36" t="str">
        <x:v>STM_aa3a8974-2e85-438b-b29e-a64df44deb4b</x:v>
      </x:c>
      <x:c r="N435" s="36" t="str">
        <x:v>工作流程</x:v>
      </x:c>
      <x:c r="O435" s="36" t="str">
        <x:v>短期</x:v>
      </x:c>
      <x:c r="P435" s="36" t="str">
        <x:v>["libreoffice_calc"]</x:v>
      </x:c>
      <x:c r="Q435" s="36" t="str">
        <x:v>[{"step_id":"S1","app":"libreoffice_calc","action_key":"export_current_sheet_to_csv","input_artifacts":["Export_Calc_to_CSV.xlsx"],"output_artifacts":["Export_Calc_to_CSV.csv"],"depends_on":[]}]</x:v>
      </x:c>
      <x:c r="R435" s="36" t="str">
        <x:v>[]</x:v>
      </x:c>
      <x:c r="S435" s="36" t="str">
        <x:v>export_current_sheet_to_csv</x:v>
      </x:c>
      <x:c r="T435" s="36" t="str">
        <x:v>Export_Calc_to_CSV.xlsx</x:v>
      </x:c>
      <x:c r="U435" s="36" t="str">
        <x:v>retrieve_and_execute</x:v>
      </x:c>
      <x:c r="V435" s="36" t="str">
        <x:v>[{"point_id":"P1","description":"把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x:v>
      </x:c>
      <x:c r="W435" s="36" t="str">
        <x:v>1.00</x:v>
      </x:c>
      <x:c r="X435" s="39" t="str">
        <x:v>前面的相似方案先不要用，当前目标是：把 Export_Calc_to_CSV.xlsx 当前工作表按屏幕显示内容导出为默认格式的 CSV，其他导出选项保持不变，CSV 与原 XLSX 使用相同的主文件名。</x:v>
      </x:c>
      <x:c r="Y435"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435" s="39" t="str">
        <x:v>不适用：当前题目不存在需要用户进一步选择的候选记忆。</x:v>
      </x:c>
      <x:c r="AA435"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AB435" s="39" t="str">
        <x:v>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C435"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x:v>
      </x:c>
      <x:c r="AD435" s="39" t="str">
        <x:v>用户的完整请求是：“前面的相似方案先不要用，当前目标是：把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E435" s="39" t="str">
        <x:v>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435" s="50" t="str">
        <x:v>not_pass</x:v>
      </x:c>
      <x:c r="AG435" s="50" t="n">
        <x:v>0</x:v>
      </x:c>
    </x:row>
    <x:row r="436" ht="189" customHeight="1">
      <x:c r="A436" s="35" t="str">
        <x:v>V3_CF11_Q05</x:v>
      </x:c>
      <x:c r="B436" s="36" t="str">
        <x:v>SG_CONFLICT_CF11</x:v>
      </x:c>
      <x:c r="C436" s="36" t="str">
        <x:v>CF11</x:v>
      </x:c>
      <x:c r="D436" s="36" t="str">
        <x:v>CSV 与 PDF 导出硬负例</x:v>
      </x:c>
      <x:c r="E436" s="36" t="str">
        <x:v>conflict_resolution</x:v>
      </x:c>
      <x:c r="F436" s="36" t="str">
        <x:v>human_constraint_emphasis</x:v>
      </x:c>
      <x:c r="G436" s="36" t="str">
        <x:v>challenge</x:v>
      </x:c>
      <x:c r="H436" s="36" t="str">
        <x:v>困难</x:v>
      </x:c>
      <x:c r="I436" s="36" t="str">
        <x:v>3aaa4e37-dc91-482e-99af-132a612d40f3|aa3a8974-2e85-438b-b29e-a64df44deb4b</x:v>
      </x:c>
      <x:c r="J436" s="36" t="str">
        <x:v>CTX_3aaa4e37-dc91-482e-99af-132a612d40f3</x:v>
      </x:c>
      <x:c r="K436" s="36" t="str">
        <x:v>STM_3aaa4e37-dc91-482e-99af-132a612d40f3</x:v>
      </x:c>
      <x:c r="L436" s="36" t="str"/>
      <x:c r="M436" s="36" t="str">
        <x:v>STM_aa3a8974-2e85-438b-b29e-a64df44deb4b</x:v>
      </x:c>
      <x:c r="N436" s="36" t="str">
        <x:v>工作流程</x:v>
      </x:c>
      <x:c r="O436" s="36" t="str">
        <x:v>短期</x:v>
      </x:c>
      <x:c r="P436" s="36" t="str">
        <x:v>["libreoffice_calc"]</x:v>
      </x:c>
      <x:c r="Q436" s="36" t="str">
        <x:v>[{"step_id":"S1","app":"libreoffice_calc","action_key":"export_current_sheet_to_csv","input_artifacts":["Export_Calc_to_CSV.xlsx"],"output_artifacts":["Export_Calc_to_CSV.csv"],"depends_on":[]}]</x:v>
      </x:c>
      <x:c r="R436" s="36" t="str">
        <x:v>[]</x:v>
      </x:c>
      <x:c r="S436" s="36" t="str">
        <x:v>export_current_sheet_to_csv</x:v>
      </x:c>
      <x:c r="T436" s="36" t="str">
        <x:v>Export_Calc_to_CSV.xlsx</x:v>
      </x:c>
      <x:c r="U436" s="36" t="str">
        <x:v>retrieve_and_execute</x:v>
      </x:c>
      <x:c r="V436" s="36" t="str">
        <x:v>[{"point_id":"P1","description":"把 Export_Calc_to_CSV.xlsx 当前工作表按屏幕显示内容导出为默认格式的 CSV，其他导出选项保持不变，CSV 与原 XLSX 使用相同的主文件名。","weight":0.8,"evidence_memory_ids":["STM_3aaa4e37-dc91-482e-99af-132a612d40f3"]},{"point_id":"P2","description":"不采用禁止记忆中的冲突操作，且不让错误方案替代必需结论","weight":0.2,"evidence_memory_ids":["STM_3aaa4e37-dc91-482e-99af-132a612d40f3","STM_aa3a8974-2e85-438b-b29e-a64df44deb4b"]}]</x:v>
      </x:c>
      <x:c r="W436" s="36" t="str">
        <x:v>1.00</x:v>
      </x:c>
      <x:c r="X436" s="39" t="str">
        <x:v>为了避免选错历史记录，我把要求再说一遍：把 Export_Calc_to_CSV.xlsx 当前工作表按屏幕显示内容导出为默认格式的 CSV，其他导出选项保持不变，CSV 与原 XLSX 使用相同的主文件名。</x:v>
      </x:c>
      <x:c r="Y436"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x:v>
      </x:c>
      <x:c r="Z436" s="39" t="str">
        <x:v>不适用：当前题目不存在需要用户进一步选择的候选记忆。</x:v>
      </x:c>
      <x:c r="AA436" s="39" t="str">
        <x:v>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x:v>
      </x:c>
      <x:c r="AB436" s="39" t="str">
        <x:v>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C436" s="39" t="str">
        <x:v>第1项实际操作：把 Export_Calc_to_CSV.xlsx 当前工作表按屏幕显示内容导出为默认格式的 CSV，其他导出选项保持不变，CSV 与原 XLSX 使用相同的主文件名。执行时必须满足：只导出当前工作表；保持默认 CSV 选项；文件主名与原 XLSX 相同。 第1项禁止操作：调整 Resize_Cells_Fit_Page.xlsx 的单元格和页面布局，使内容适合一页显示，然后导出为与原电子表格同名的 PDF，并保存到用户主目录。该操作不得替代或混入当前执行结果。</x:v>
      </x:c>
      <x:c r="AD436" s="39" t="str">
        <x:v>用户的完整请求是：“为了避免选错历史记录，我把要求再说一遍：把 Export_Calc_to_CSV.xlsx 当前工作表按屏幕显示内容导出为默认格式的 CSV，其他导出选项保持不变，CSV 与原 XLSX 使用相同的主文件名。” 第1个当前上下文：Export_Calc_to_CSV.xlsx 已在 LibreOffice Calc 中打开。 与当前请求一致、应当调用的完整记忆如下：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这些记忆描述的目标文件、操作对象、处理方式和输出结果与 Query 中明确表达的当前要求一致。与此同时，记忆库中还存在以下容易造成误检的完整禁止记忆：
第1条记忆（短期/工作流程）：调整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与当前上下文选择必需记忆，再明确排除禁止记忆，不能仅凭关键词相似度混合两套规则。最终应给出的完整结论是：“应采用以下方案：把 Export_Calc_to_CSV.xlsx 当前工作表按屏幕显示内容导出为默认格式的 CSV，其他导出选项保持不变，CSV 与原 XLSX 使用相同的主文件名。同时明确不得采用以下相似但不符合当前要求的方案：调整 Resize_Cells_Fit_Page.xlsx 的单元格和页面布局，使内容适合一页显示，然后导出为与原电子表格同名的 PDF，并保存到用户主目录。”</x:v>
      </x:c>
      <x:c r="AE436" s="39" t="str">
        <x:v>本题总分为 1.00 分，各得分点独立累计，允许语义等价表达，不要求模型输出记忆 ID，也不要求逐字复述记忆原文。
第1个得分点（0.80分）：把 Export_Calc_to_CSV.xlsx 当前工作表按屏幕显示内容导出为默认格式的 CSV，其他导出选项保持不变，CSV 与原 XLSX 使用相同的主文件名。该得分点所依据的完整证据为：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第2个得分点（0.20分）：不采用禁止记忆中的冲突操作，且不让错误方案替代必需结论。该得分点所依据的完整证据为：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人工复审时，应依据模型最终给出的信息和实际操作是否满足上述每个得分点分别给分；只命中记忆 ID 但没有形成对应结论不能获得该结论分，形成了正确结论但表达方式不同则不应扣分。</x:v>
      </x:c>
      <x:c r="AF436" s="50" t="str">
        <x:v>not_pass</x:v>
      </x:c>
      <x:c r="AG436" s="50" t="n">
        <x:v>0</x:v>
      </x:c>
    </x:row>
    <x:row r="437" ht="175.5" customHeight="1">
      <x:c r="A437" s="35" t="str">
        <x:v>V3_CF12_Q01</x:v>
      </x:c>
      <x:c r="B437" s="36" t="str">
        <x:v>SG_CONFLICT_CF12</x:v>
      </x:c>
      <x:c r="C437" s="36" t="str">
        <x:v>CF12</x:v>
      </x:c>
      <x:c r="D437" s="36" t="str">
        <x:v>转置与移动列硬负例</x:v>
      </x:c>
      <x:c r="E437" s="36" t="str">
        <x:v>conflict_resolution</x:v>
      </x:c>
      <x:c r="F437" s="36" t="str">
        <x:v>human_context_explicit</x:v>
      </x:c>
      <x:c r="G437" s="36" t="str">
        <x:v>challenge</x:v>
      </x:c>
      <x:c r="H437" s="36" t="str">
        <x:v>困难</x:v>
      </x:c>
      <x:c r="I437" s="36" t="str">
        <x:v>eb03d19a-b88d-4de4-8a64-ca0ac66f426b|7a4e4bc8-922c-4c84-865c-25ba34136be1</x:v>
      </x:c>
      <x:c r="J437" s="36" t="str">
        <x:v>CTX_eb03d19a-b88d-4de4-8a64-ca0ac66f426b</x:v>
      </x:c>
      <x:c r="K437" s="36" t="str">
        <x:v>LTM_eb03d19a-b88d-4de4-8a64-ca0ac66f426b</x:v>
      </x:c>
      <x:c r="L437" s="36" t="str"/>
      <x:c r="M437" s="36" t="str">
        <x:v>LTM_7a4e4bc8-922c-4c84-865c-25ba34136be1</x:v>
      </x:c>
      <x:c r="N437" s="36" t="str">
        <x:v>工作流程</x:v>
      </x:c>
      <x:c r="O437" s="36" t="str">
        <x:v>长期</x:v>
      </x:c>
      <x:c r="P437" s="36" t="str">
        <x:v>["libreoffice_calc"]</x:v>
      </x:c>
      <x:c r="Q437" s="36" t="str">
        <x:v>[{"step_id":"S1","app":"libreoffice_calc","action_key":"transpose_table_to_b8","input_artifacts":["Students_Class_Subject_Marks.xlsx"],"output_artifacts":["Students_Class_Subject_Marks.xlsx"],"depends_on":[]}]</x:v>
      </x:c>
      <x:c r="R437" s="36" t="str">
        <x:v>[]</x:v>
      </x:c>
      <x:c r="S437" s="36" t="str">
        <x:v>transpose_table_to_b8</x:v>
      </x:c>
      <x:c r="T437" s="36" t="str">
        <x:v>Students_Class_Subject_Marks.xlsx</x:v>
      </x:c>
      <x:c r="U437" s="36" t="str">
        <x:v>retrieve_and_execute</x:v>
      </x:c>
      <x:c r="V437" s="36" t="str">
        <x:v>[{"point_id":"P1","description":"在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x:v>
      </x:c>
      <x:c r="W437" s="36" t="str">
        <x:v>1.00</x:v>
      </x:c>
      <x:c r="X437" s="39" t="str">
        <x:v>我正在处理这份表，按之前确认的这一版来：在 Students_Class_Subject_Marks.xlsx 中转置 B2:F5 表格，并把转置结果粘贴到以 B8 为左上角的区域。</x:v>
      </x:c>
      <x:c r="Y437" s="39" t="str">
        <x:v>第1条记忆（长期/工作流程）：在 Students_Class_Subject_Marks.xlsx 中转置 B2:F5 表格，并把转置结果粘贴到以 B8 为左上角的区域。关键约束：源范围为 B2:F5；执行矩阵转置；目标左上角必须是 B8。</x:v>
      </x:c>
      <x:c r="Z437" s="39" t="str">
        <x:v>不适用：当前题目不存在需要用户进一步选择的候选记忆。</x:v>
      </x:c>
      <x:c r="AA437" s="39" t="str">
        <x:v>第1条记忆（长期/工作流程）：在 Name_Order_Id_move_column.xlsx 中把列顺序调整为 Date、First Name、Last Name、Order ID、Sales。关键约束：五列顺序必须完全一致；整列数据随表头移动；不修改无关区域。</x:v>
      </x:c>
      <x:c r="AB437" s="39" t="str">
        <x:v>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C437" s="39" t="str">
        <x:v>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x:v>
      </x:c>
      <x:c r="AD437" s="39" t="str">
        <x:v>用户的完整请求是：“我正在处理这份表，按之前确认的这一版来：在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E437" s="39" t="str">
        <x:v>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437" s="50" t="str">
        <x:v>not_pass</x:v>
      </x:c>
      <x:c r="AG437" s="50" t="n">
        <x:v>0</x:v>
      </x:c>
    </x:row>
    <x:row r="438" ht="175.5" customHeight="1">
      <x:c r="A438" s="35" t="str">
        <x:v>V3_CF12_Q02</x:v>
      </x:c>
      <x:c r="B438" s="36" t="str">
        <x:v>SG_CONFLICT_CF12</x:v>
      </x:c>
      <x:c r="C438" s="36" t="str">
        <x:v>CF12</x:v>
      </x:c>
      <x:c r="D438" s="36" t="str">
        <x:v>转置与移动列硬负例</x:v>
      </x:c>
      <x:c r="E438" s="36" t="str">
        <x:v>conflict_resolution</x:v>
      </x:c>
      <x:c r="F438" s="36" t="str">
        <x:v>human_goal_oriented</x:v>
      </x:c>
      <x:c r="G438" s="36" t="str">
        <x:v>challenge</x:v>
      </x:c>
      <x:c r="H438" s="36" t="str">
        <x:v>困难</x:v>
      </x:c>
      <x:c r="I438" s="36" t="str">
        <x:v>eb03d19a-b88d-4de4-8a64-ca0ac66f426b|7a4e4bc8-922c-4c84-865c-25ba34136be1</x:v>
      </x:c>
      <x:c r="J438" s="36" t="str">
        <x:v>CTX_eb03d19a-b88d-4de4-8a64-ca0ac66f426b</x:v>
      </x:c>
      <x:c r="K438" s="36" t="str">
        <x:v>LTM_eb03d19a-b88d-4de4-8a64-ca0ac66f426b</x:v>
      </x:c>
      <x:c r="L438" s="36" t="str"/>
      <x:c r="M438" s="36" t="str">
        <x:v>LTM_7a4e4bc8-922c-4c84-865c-25ba34136be1</x:v>
      </x:c>
      <x:c r="N438" s="36" t="str">
        <x:v>工作流程</x:v>
      </x:c>
      <x:c r="O438" s="36" t="str">
        <x:v>长期</x:v>
      </x:c>
      <x:c r="P438" s="36" t="str">
        <x:v>["libreoffice_calc"]</x:v>
      </x:c>
      <x:c r="Q438" s="36" t="str">
        <x:v>[{"step_id":"S1","app":"libreoffice_calc","action_key":"transpose_table_to_b8","input_artifacts":["Students_Class_Subject_Marks.xlsx"],"output_artifacts":["Students_Class_Subject_Marks.xlsx"],"depends_on":[]}]</x:v>
      </x:c>
      <x:c r="R438" s="36" t="str">
        <x:v>[]</x:v>
      </x:c>
      <x:c r="S438" s="36" t="str">
        <x:v>transpose_table_to_b8</x:v>
      </x:c>
      <x:c r="T438" s="36" t="str">
        <x:v>Students_Class_Subject_Marks.xlsx</x:v>
      </x:c>
      <x:c r="U438" s="36" t="str">
        <x:v>retrieve_and_execute</x:v>
      </x:c>
      <x:c r="V438" s="36" t="str">
        <x:v>[{"point_id":"P1","description":"在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x:v>
      </x:c>
      <x:c r="W438" s="36" t="str">
        <x:v>1.00</x:v>
      </x:c>
      <x:c r="X438" s="39" t="str">
        <x:v>这次只做下面这个结果，别套用相似任务的做法：在 Students_Class_Subject_Marks.xlsx 中转置 B2:F5 表格，并把转置结果粘贴到以 B8 为左上角的区域。</x:v>
      </x:c>
      <x:c r="Y438" s="39" t="str">
        <x:v>第1条记忆（长期/工作流程）：在 Students_Class_Subject_Marks.xlsx 中转置 B2:F5 表格，并把转置结果粘贴到以 B8 为左上角的区域。关键约束：源范围为 B2:F5；执行矩阵转置；目标左上角必须是 B8。</x:v>
      </x:c>
      <x:c r="Z438" s="39" t="str">
        <x:v>不适用：当前题目不存在需要用户进一步选择的候选记忆。</x:v>
      </x:c>
      <x:c r="AA438" s="39" t="str">
        <x:v>第1条记忆（长期/工作流程）：在 Name_Order_Id_move_column.xlsx 中把列顺序调整为 Date、First Name、Last Name、Order ID、Sales。关键约束：五列顺序必须完全一致；整列数据随表头移动；不修改无关区域。</x:v>
      </x:c>
      <x:c r="AB438" s="39" t="str">
        <x:v>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C438" s="39" t="str">
        <x:v>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x:v>
      </x:c>
      <x:c r="AD438" s="39" t="str">
        <x:v>用户的完整请求是：“这次只做下面这个结果，别套用相似任务的做法：在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E438" s="39" t="str">
        <x:v>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438" s="50" t="str">
        <x:v>not_pass</x:v>
      </x:c>
      <x:c r="AG438" s="50" t="n">
        <x:v>0</x:v>
      </x:c>
    </x:row>
    <x:row r="439" ht="175.5" customHeight="1">
      <x:c r="A439" s="35" t="str">
        <x:v>V3_CF12_Q03</x:v>
      </x:c>
      <x:c r="B439" s="36" t="str">
        <x:v>SG_CONFLICT_CF12</x:v>
      </x:c>
      <x:c r="C439" s="36" t="str">
        <x:v>CF12</x:v>
      </x:c>
      <x:c r="D439" s="36" t="str">
        <x:v>转置与移动列硬负例</x:v>
      </x:c>
      <x:c r="E439" s="36" t="str">
        <x:v>conflict_resolution</x:v>
      </x:c>
      <x:c r="F439" s="36" t="str">
        <x:v>contextual_ellipsis</x:v>
      </x:c>
      <x:c r="G439" s="36" t="str">
        <x:v>challenge</x:v>
      </x:c>
      <x:c r="H439" s="36" t="str">
        <x:v>困难</x:v>
      </x:c>
      <x:c r="I439" s="36" t="str">
        <x:v>eb03d19a-b88d-4de4-8a64-ca0ac66f426b|7a4e4bc8-922c-4c84-865c-25ba34136be1</x:v>
      </x:c>
      <x:c r="J439" s="36" t="str">
        <x:v>CTX_eb03d19a-b88d-4de4-8a64-ca0ac66f426b</x:v>
      </x:c>
      <x:c r="K439" s="36" t="str">
        <x:v>LTM_eb03d19a-b88d-4de4-8a64-ca0ac66f426b</x:v>
      </x:c>
      <x:c r="L439" s="36" t="str"/>
      <x:c r="M439" s="36" t="str">
        <x:v>LTM_7a4e4bc8-922c-4c84-865c-25ba34136be1</x:v>
      </x:c>
      <x:c r="N439" s="36" t="str">
        <x:v>工作流程</x:v>
      </x:c>
      <x:c r="O439" s="36" t="str">
        <x:v>长期</x:v>
      </x:c>
      <x:c r="P439" s="36" t="str">
        <x:v>["libreoffice_calc"]</x:v>
      </x:c>
      <x:c r="Q439" s="36" t="str">
        <x:v>[{"step_id":"S1","app":"libreoffice_calc","action_key":"transpose_table_to_b8","input_artifacts":["Students_Class_Subject_Marks.xlsx"],"output_artifacts":["Students_Class_Subject_Marks.xlsx"],"depends_on":[]}]</x:v>
      </x:c>
      <x:c r="R439" s="36" t="str">
        <x:v>[]</x:v>
      </x:c>
      <x:c r="S439" s="36" t="str">
        <x:v>transpose_table_to_b8</x:v>
      </x:c>
      <x:c r="T439" s="36" t="str">
        <x:v>Students_Class_Subject_Marks.xlsx</x:v>
      </x:c>
      <x:c r="U439" s="36" t="str">
        <x:v>retrieve_and_execute</x:v>
      </x:c>
      <x:c r="V439" s="36" t="str">
        <x:v>[{"point_id":"P1","description":"在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x:v>
      </x:c>
      <x:c r="W439" s="36" t="str">
        <x:v>1.00</x:v>
      </x:c>
      <x:c r="X439" s="39" t="str">
        <x:v>文件已经打开了，我要的是这套处理：在 Students_Class_Subject_Marks.xlsx 中转置 B2:F5 表格，并把转置结果粘贴到以 B8 为左上角的区域。</x:v>
      </x:c>
      <x:c r="Y439" s="39" t="str">
        <x:v>第1条记忆（长期/工作流程）：在 Students_Class_Subject_Marks.xlsx 中转置 B2:F5 表格，并把转置结果粘贴到以 B8 为左上角的区域。关键约束：源范围为 B2:F5；执行矩阵转置；目标左上角必须是 B8。</x:v>
      </x:c>
      <x:c r="Z439" s="39" t="str">
        <x:v>不适用：当前题目不存在需要用户进一步选择的候选记忆。</x:v>
      </x:c>
      <x:c r="AA439" s="39" t="str">
        <x:v>第1条记忆（长期/工作流程）：在 Name_Order_Id_move_column.xlsx 中把列顺序调整为 Date、First Name、Last Name、Order ID、Sales。关键约束：五列顺序必须完全一致；整列数据随表头移动；不修改无关区域。</x:v>
      </x:c>
      <x:c r="AB439" s="39" t="str">
        <x:v>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C439" s="39" t="str">
        <x:v>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x:v>
      </x:c>
      <x:c r="AD439" s="39" t="str">
        <x:v>用户的完整请求是：“文件已经打开了，我要的是这套处理：在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E439" s="39" t="str">
        <x:v>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439" s="50" t="str">
        <x:v>not_pass</x:v>
      </x:c>
      <x:c r="AG439" s="50" t="n">
        <x:v>0</x:v>
      </x:c>
    </x:row>
    <x:row r="440" ht="175.5" customHeight="1">
      <x:c r="A440" s="35" t="str">
        <x:v>V3_CF12_Q04</x:v>
      </x:c>
      <x:c r="B440" s="36" t="str">
        <x:v>SG_CONFLICT_CF12</x:v>
      </x:c>
      <x:c r="C440" s="36" t="str">
        <x:v>CF12</x:v>
      </x:c>
      <x:c r="D440" s="36" t="str">
        <x:v>转置与移动列硬负例</x:v>
      </x:c>
      <x:c r="E440" s="36" t="str">
        <x:v>conflict_resolution</x:v>
      </x:c>
      <x:c r="F440" s="36" t="str">
        <x:v>low_overlap_paraphrase</x:v>
      </x:c>
      <x:c r="G440" s="36" t="str">
        <x:v>challenge</x:v>
      </x:c>
      <x:c r="H440" s="36" t="str">
        <x:v>困难</x:v>
      </x:c>
      <x:c r="I440" s="36" t="str">
        <x:v>eb03d19a-b88d-4de4-8a64-ca0ac66f426b|7a4e4bc8-922c-4c84-865c-25ba34136be1</x:v>
      </x:c>
      <x:c r="J440" s="36" t="str">
        <x:v>CTX_eb03d19a-b88d-4de4-8a64-ca0ac66f426b</x:v>
      </x:c>
      <x:c r="K440" s="36" t="str">
        <x:v>LTM_eb03d19a-b88d-4de4-8a64-ca0ac66f426b</x:v>
      </x:c>
      <x:c r="L440" s="36" t="str"/>
      <x:c r="M440" s="36" t="str">
        <x:v>LTM_7a4e4bc8-922c-4c84-865c-25ba34136be1</x:v>
      </x:c>
      <x:c r="N440" s="36" t="str">
        <x:v>工作流程</x:v>
      </x:c>
      <x:c r="O440" s="36" t="str">
        <x:v>长期</x:v>
      </x:c>
      <x:c r="P440" s="36" t="str">
        <x:v>["libreoffice_calc"]</x:v>
      </x:c>
      <x:c r="Q440" s="36" t="str">
        <x:v>[{"step_id":"S1","app":"libreoffice_calc","action_key":"transpose_table_to_b8","input_artifacts":["Students_Class_Subject_Marks.xlsx"],"output_artifacts":["Students_Class_Subject_Marks.xlsx"],"depends_on":[]}]</x:v>
      </x:c>
      <x:c r="R440" s="36" t="str">
        <x:v>[]</x:v>
      </x:c>
      <x:c r="S440" s="36" t="str">
        <x:v>transpose_table_to_b8</x:v>
      </x:c>
      <x:c r="T440" s="36" t="str">
        <x:v>Students_Class_Subject_Marks.xlsx</x:v>
      </x:c>
      <x:c r="U440" s="36" t="str">
        <x:v>retrieve_and_execute</x:v>
      </x:c>
      <x:c r="V440" s="36" t="str">
        <x:v>[{"point_id":"P1","description":"在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x:v>
      </x:c>
      <x:c r="W440" s="36" t="str">
        <x:v>1.00</x:v>
      </x:c>
      <x:c r="X440" s="39" t="str">
        <x:v>前面的相似方案先不要用，当前目标是：在 Students_Class_Subject_Marks.xlsx 中转置 B2:F5 表格，并把转置结果粘贴到以 B8 为左上角的区域。</x:v>
      </x:c>
      <x:c r="Y440" s="39" t="str">
        <x:v>第1条记忆（长期/工作流程）：在 Students_Class_Subject_Marks.xlsx 中转置 B2:F5 表格，并把转置结果粘贴到以 B8 为左上角的区域。关键约束：源范围为 B2:F5；执行矩阵转置；目标左上角必须是 B8。</x:v>
      </x:c>
      <x:c r="Z440" s="39" t="str">
        <x:v>不适用：当前题目不存在需要用户进一步选择的候选记忆。</x:v>
      </x:c>
      <x:c r="AA440" s="39" t="str">
        <x:v>第1条记忆（长期/工作流程）：在 Name_Order_Id_move_column.xlsx 中把列顺序调整为 Date、First Name、Last Name、Order ID、Sales。关键约束：五列顺序必须完全一致；整列数据随表头移动；不修改无关区域。</x:v>
      </x:c>
      <x:c r="AB440" s="39" t="str">
        <x:v>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C440" s="39" t="str">
        <x:v>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x:v>
      </x:c>
      <x:c r="AD440" s="39" t="str">
        <x:v>用户的完整请求是：“前面的相似方案先不要用，当前目标是：在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E440" s="39" t="str">
        <x:v>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440" s="50" t="str">
        <x:v>not_pass</x:v>
      </x:c>
      <x:c r="AG440" s="50" t="n">
        <x:v>0</x:v>
      </x:c>
    </x:row>
    <x:row r="441" ht="175.5" customHeight="1">
      <x:c r="A441" s="35" t="str">
        <x:v>V3_CF12_Q05</x:v>
      </x:c>
      <x:c r="B441" s="36" t="str">
        <x:v>SG_CONFLICT_CF12</x:v>
      </x:c>
      <x:c r="C441" s="36" t="str">
        <x:v>CF12</x:v>
      </x:c>
      <x:c r="D441" s="36" t="str">
        <x:v>转置与移动列硬负例</x:v>
      </x:c>
      <x:c r="E441" s="36" t="str">
        <x:v>conflict_resolution</x:v>
      </x:c>
      <x:c r="F441" s="36" t="str">
        <x:v>human_constraint_emphasis</x:v>
      </x:c>
      <x:c r="G441" s="36" t="str">
        <x:v>challenge</x:v>
      </x:c>
      <x:c r="H441" s="36" t="str">
        <x:v>困难</x:v>
      </x:c>
      <x:c r="I441" s="36" t="str">
        <x:v>eb03d19a-b88d-4de4-8a64-ca0ac66f426b|7a4e4bc8-922c-4c84-865c-25ba34136be1</x:v>
      </x:c>
      <x:c r="J441" s="36" t="str">
        <x:v>CTX_eb03d19a-b88d-4de4-8a64-ca0ac66f426b</x:v>
      </x:c>
      <x:c r="K441" s="36" t="str">
        <x:v>LTM_eb03d19a-b88d-4de4-8a64-ca0ac66f426b</x:v>
      </x:c>
      <x:c r="L441" s="36" t="str"/>
      <x:c r="M441" s="36" t="str">
        <x:v>LTM_7a4e4bc8-922c-4c84-865c-25ba34136be1</x:v>
      </x:c>
      <x:c r="N441" s="36" t="str">
        <x:v>工作流程</x:v>
      </x:c>
      <x:c r="O441" s="36" t="str">
        <x:v>长期</x:v>
      </x:c>
      <x:c r="P441" s="36" t="str">
        <x:v>["libreoffice_calc"]</x:v>
      </x:c>
      <x:c r="Q441" s="36" t="str">
        <x:v>[{"step_id":"S1","app":"libreoffice_calc","action_key":"transpose_table_to_b8","input_artifacts":["Students_Class_Subject_Marks.xlsx"],"output_artifacts":["Students_Class_Subject_Marks.xlsx"],"depends_on":[]}]</x:v>
      </x:c>
      <x:c r="R441" s="36" t="str">
        <x:v>[]</x:v>
      </x:c>
      <x:c r="S441" s="36" t="str">
        <x:v>transpose_table_to_b8</x:v>
      </x:c>
      <x:c r="T441" s="36" t="str">
        <x:v>Students_Class_Subject_Marks.xlsx</x:v>
      </x:c>
      <x:c r="U441" s="36" t="str">
        <x:v>retrieve_and_execute</x:v>
      </x:c>
      <x:c r="V441" s="36" t="str">
        <x:v>[{"point_id":"P1","description":"在 Students_Class_Subject_Marks.xlsx 中转置 B2:F5 表格，并把转置结果粘贴到以 B8 为左上角的区域。","weight":0.8,"evidence_memory_ids":["LTM_eb03d19a-b88d-4de4-8a64-ca0ac66f426b"]},{"point_id":"P2","description":"不采用禁止记忆中的冲突操作，且不让错误方案替代必需结论","weight":0.2,"evidence_memory_ids":["LTM_eb03d19a-b88d-4de4-8a64-ca0ac66f426b","LTM_7a4e4bc8-922c-4c84-865c-25ba34136be1"]}]</x:v>
      </x:c>
      <x:c r="W441" s="36" t="str">
        <x:v>1.00</x:v>
      </x:c>
      <x:c r="X441" s="39" t="str">
        <x:v>为了避免选错历史记录，我把要求再说一遍：在 Students_Class_Subject_Marks.xlsx 中转置 B2:F5 表格，并把转置结果粘贴到以 B8 为左上角的区域。</x:v>
      </x:c>
      <x:c r="Y441" s="39" t="str">
        <x:v>第1条记忆（长期/工作流程）：在 Students_Class_Subject_Marks.xlsx 中转置 B2:F5 表格，并把转置结果粘贴到以 B8 为左上角的区域。关键约束：源范围为 B2:F5；执行矩阵转置；目标左上角必须是 B8。</x:v>
      </x:c>
      <x:c r="Z441" s="39" t="str">
        <x:v>不适用：当前题目不存在需要用户进一步选择的候选记忆。</x:v>
      </x:c>
      <x:c r="AA441" s="39" t="str">
        <x:v>第1条记忆（长期/工作流程）：在 Name_Order_Id_move_column.xlsx 中把列顺序调整为 Date、First Name、Last Name、Order ID、Sales。关键约束：五列顺序必须完全一致；整列数据随表头移动；不修改无关区域。</x:v>
      </x:c>
      <x:c r="AB441" s="39" t="str">
        <x:v>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C441" s="39" t="str">
        <x:v>第1项实际操作：在 Students_Class_Subject_Marks.xlsx 中转置 B2:F5 表格，并把转置结果粘贴到以 B8 为左上角的区域。执行时必须满足：源范围为 B2:F5；执行矩阵转置；目标左上角必须是 B8。 第1项禁止操作：在 Name_Order_Id_move_column.xlsx 中把列顺序调整为 Date、First Name、Last Name、Order ID、Sales。该操作不得替代或混入当前执行结果。</x:v>
      </x:c>
      <x:c r="AD441" s="39" t="str">
        <x:v>用户的完整请求是：“为了避免选错历史记录，我把要求再说一遍：在 Students_Class_Subject_Marks.xlsx 中转置 B2:F5 表格，并把转置结果粘贴到以 B8 为左上角的区域。” 第1个当前上下文：Students_Class_Subject_Marks.xlsx 已在 LibreOffice Calc 中打开。 与当前请求一致、应当调用的完整记忆如下：
第1条记忆（长期/工作流程）：在 Students_Class_Subject_Marks.xlsx 中转置 B2:F5 表格，并把转置结果粘贴到以 B8 为左上角的区域。关键约束：源范围为 B2:F5；执行矩阵转置；目标左上角必须是 B8。
这些记忆描述的目标文件、操作对象、处理方式和输出结果与 Query 中明确表达的当前要求一致。与此同时，记忆库中还存在以下容易造成误检的完整禁止记忆：
第1条记忆（长期/工作流程）：在 Name_Order_Id_move_column.xlsx 中把列顺序调整为 Date、First Name、Last Name、Order ID、Sales。关键约束：五列顺序必须完全一致；整列数据随表头移动；不修改无关区域。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Students_Class_Subject_Marks.xlsx 中转置 B2:F5 表格，并把转置结果粘贴到以 B8 为左上角的区域。同时明确不得采用以下相似但不符合当前要求的方案：在 Name_Order_Id_move_column.xlsx 中把列顺序调整为 Date、First Name、Last Name、Order ID、Sales。”</x:v>
      </x:c>
      <x:c r="AE441" s="39" t="str">
        <x:v>本题总分为 1.00 分，各得分点独立累计，允许语义等价表达，不要求模型输出记忆 ID，也不要求逐字复述记忆原文。
第1个得分点（0.80分）：在 Students_Class_Subject_Marks.xlsx 中转置 B2:F5 表格，并把转置结果粘贴到以 B8 为左上角的区域。该得分点所依据的完整证据为：
第1条记忆（长期/工作流程）：在 Students_Class_Subject_Marks.xlsx 中转置 B2:F5 表格，并把转置结果粘贴到以 B8 为左上角的区域。关键约束：源范围为 B2:F5；执行矩阵转置；目标左上角必须是 B8。
第2个得分点（0.20分）：不采用禁止记忆中的冲突操作，且不让错误方案替代必需结论。该得分点所依据的完整证据为：
第1条记忆（长期/工作流程）：在 Students_Class_Subject_Marks.xlsx 中转置 B2:F5 表格，并把转置结果粘贴到以 B8 为左上角的区域。关键约束：源范围为 B2:F5；执行矩阵转置；目标左上角必须是 B8。
第2条记忆（长期/工作流程）：在 Name_Order_Id_move_column.xlsx 中把列顺序调整为 Date、First Name、Last Name、Order ID、Sales。关键约束：五列顺序必须完全一致；整列数据随表头移动；不修改无关区域。
人工复审时，应依据模型最终给出的信息和实际操作是否满足上述每个得分点分别给分；只命中记忆 ID 但没有形成对应结论不能获得该结论分，形成了正确结论但表达方式不同则不应扣分。</x:v>
      </x:c>
      <x:c r="AF441" s="50" t="str">
        <x:v>not_pass</x:v>
      </x:c>
      <x:c r="AG441" s="50" t="n">
        <x:v>0</x:v>
      </x:c>
    </x:row>
    <x:row r="442" ht="175.5" customHeight="1">
      <x:c r="A442" s="35" t="str">
        <x:v>V3_CF13_Q01</x:v>
      </x:c>
      <x:c r="B442" s="36" t="str">
        <x:v>SG_CONFLICT_CF13</x:v>
      </x:c>
      <x:c r="C442" s="36" t="str">
        <x:v>CF13</x:v>
      </x:c>
      <x:c r="D442" s="36" t="str">
        <x:v>订单序号与迷你图硬负例</x:v>
      </x:c>
      <x:c r="E442" s="36" t="str">
        <x:v>conflict_resolution</x:v>
      </x:c>
      <x:c r="F442" s="36" t="str">
        <x:v>human_context_explicit</x:v>
      </x:c>
      <x:c r="G442" s="36" t="str">
        <x:v>challenge</x:v>
      </x:c>
      <x:c r="H442" s="36" t="str">
        <x:v>困难</x:v>
      </x:c>
      <x:c r="I442" s="36" t="str">
        <x:v>7efeb4b1-3d19-4762-b163-63328d66303b|2bd59342-0664-4ccb-ba87-79379096cc08</x:v>
      </x:c>
      <x:c r="J442" s="36" t="str">
        <x:v>CTX_7efeb4b1-3d19-4762-b163-63328d66303b</x:v>
      </x:c>
      <x:c r="K442" s="36" t="str">
        <x:v>MTM_7efeb4b1-3d19-4762-b163-63328d66303b</x:v>
      </x:c>
      <x:c r="L442" s="36" t="str"/>
      <x:c r="M442" s="36" t="str">
        <x:v>STM_2bd59342-0664-4ccb-ba87-79379096cc08</x:v>
      </x:c>
      <x:c r="N442" s="36" t="str">
        <x:v>可复用模板</x:v>
      </x:c>
      <x:c r="O442" s="36" t="str">
        <x:v>中期</x:v>
      </x:c>
      <x:c r="P442" s="36" t="str">
        <x:v>["libreoffice_calc"]</x:v>
      </x:c>
      <x:c r="Q442" s="36" t="str">
        <x:v>[{"step_id":"S1","app":"libreoffice_calc","action_key":"fill_order_sequence_labels","input_artifacts":["Order_Sales_Serial#.xlsx"],"output_artifacts":["Order_Sales_Serial#.xlsx"],"depends_on":[]}]</x:v>
      </x:c>
      <x:c r="R442" s="36" t="str">
        <x:v>[]</x:v>
      </x:c>
      <x:c r="S442" s="36" t="str">
        <x:v>fill_order_sequence_labels</x:v>
      </x:c>
      <x:c r="T442" s="36" t="str">
        <x:v>Order_Sales_Serial#.xlsx</x:v>
      </x:c>
      <x:c r="U442" s="36" t="str">
        <x:v>retrieve_and_execute</x:v>
      </x:c>
      <x:c r="V442" s="36" t="str">
        <x:v>[{"point_id":"P1","description":"在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x:v>
      </x:c>
      <x:c r="W442" s="36" t="str">
        <x:v>1.00</x:v>
      </x:c>
      <x:c r="X442" s="39" t="str">
        <x:v>我正在处理这份表，按之前确认的这一版来：在 Order_Sales_Serial#.xlsx 的 Seq No. 列中按顺序填入 No. # 格式的序号。</x:v>
      </x:c>
      <x:c r="Y442" s="39" t="str">
        <x:v>第1条记忆（中期/可复用模板）：在 Order_Sales_Serial#.xlsx 的 Seq No. 列中按顺序填入 No. # 格式的序号。关键约束：序号位于 Seq No. 列；格式为 No. 后接顺序编号；不修改无关区域。</x:v>
      </x:c>
      <x:c r="Z442" s="39" t="str">
        <x:v>不适用：当前题目不存在需要用户进一步选择的候选记忆。</x:v>
      </x:c>
      <x:c r="AA442" s="39" t="str">
        <x:v>第1条记忆（短期/工作流程）：在 OrderId_Month_Chart.xlsx 的 Chart 列中，为每个订单编号使用 1 月至 3 月数据创建迷你图。关键约束：每个 Order ID 一张迷你图；数据范围仅为 Jan-Mar；结果位于 Chart 列。</x:v>
      </x:c>
      <x:c r="AB442" s="39" t="str">
        <x:v>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C442" s="39" t="str">
        <x:v>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x:v>
      </x:c>
      <x:c r="AD442" s="39" t="str">
        <x:v>用户的完整请求是：“我正在处理这份表，按之前确认的这一版来：在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E442" s="39" t="str">
        <x:v>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442" s="50" t="str">
        <x:v>not_pass</x:v>
      </x:c>
      <x:c r="AG442" s="50" t="n">
        <x:v>0</x:v>
      </x:c>
    </x:row>
    <x:row r="443" ht="175.5" customHeight="1">
      <x:c r="A443" s="35" t="str">
        <x:v>V3_CF13_Q02</x:v>
      </x:c>
      <x:c r="B443" s="36" t="str">
        <x:v>SG_CONFLICT_CF13</x:v>
      </x:c>
      <x:c r="C443" s="36" t="str">
        <x:v>CF13</x:v>
      </x:c>
      <x:c r="D443" s="36" t="str">
        <x:v>订单序号与迷你图硬负例</x:v>
      </x:c>
      <x:c r="E443" s="36" t="str">
        <x:v>conflict_resolution</x:v>
      </x:c>
      <x:c r="F443" s="36" t="str">
        <x:v>human_goal_oriented</x:v>
      </x:c>
      <x:c r="G443" s="36" t="str">
        <x:v>challenge</x:v>
      </x:c>
      <x:c r="H443" s="36" t="str">
        <x:v>困难</x:v>
      </x:c>
      <x:c r="I443" s="36" t="str">
        <x:v>7efeb4b1-3d19-4762-b163-63328d66303b|2bd59342-0664-4ccb-ba87-79379096cc08</x:v>
      </x:c>
      <x:c r="J443" s="36" t="str">
        <x:v>CTX_7efeb4b1-3d19-4762-b163-63328d66303b</x:v>
      </x:c>
      <x:c r="K443" s="36" t="str">
        <x:v>MTM_7efeb4b1-3d19-4762-b163-63328d66303b</x:v>
      </x:c>
      <x:c r="L443" s="36" t="str"/>
      <x:c r="M443" s="36" t="str">
        <x:v>STM_2bd59342-0664-4ccb-ba87-79379096cc08</x:v>
      </x:c>
      <x:c r="N443" s="36" t="str">
        <x:v>可复用模板</x:v>
      </x:c>
      <x:c r="O443" s="36" t="str">
        <x:v>中期</x:v>
      </x:c>
      <x:c r="P443" s="36" t="str">
        <x:v>["libreoffice_calc"]</x:v>
      </x:c>
      <x:c r="Q443" s="36" t="str">
        <x:v>[{"step_id":"S1","app":"libreoffice_calc","action_key":"fill_order_sequence_labels","input_artifacts":["Order_Sales_Serial#.xlsx"],"output_artifacts":["Order_Sales_Serial#.xlsx"],"depends_on":[]}]</x:v>
      </x:c>
      <x:c r="R443" s="36" t="str">
        <x:v>[]</x:v>
      </x:c>
      <x:c r="S443" s="36" t="str">
        <x:v>fill_order_sequence_labels</x:v>
      </x:c>
      <x:c r="T443" s="36" t="str">
        <x:v>Order_Sales_Serial#.xlsx</x:v>
      </x:c>
      <x:c r="U443" s="36" t="str">
        <x:v>retrieve_and_execute</x:v>
      </x:c>
      <x:c r="V443" s="36" t="str">
        <x:v>[{"point_id":"P1","description":"在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x:v>
      </x:c>
      <x:c r="W443" s="36" t="str">
        <x:v>1.00</x:v>
      </x:c>
      <x:c r="X443" s="39" t="str">
        <x:v>这次只做下面这个结果，别套用相似任务的做法：在 Order_Sales_Serial#.xlsx 的 Seq No. 列中按顺序填入 No. # 格式的序号。</x:v>
      </x:c>
      <x:c r="Y443" s="39" t="str">
        <x:v>第1条记忆（中期/可复用模板）：在 Order_Sales_Serial#.xlsx 的 Seq No. 列中按顺序填入 No. # 格式的序号。关键约束：序号位于 Seq No. 列；格式为 No. 后接顺序编号；不修改无关区域。</x:v>
      </x:c>
      <x:c r="Z443" s="39" t="str">
        <x:v>不适用：当前题目不存在需要用户进一步选择的候选记忆。</x:v>
      </x:c>
      <x:c r="AA443" s="39" t="str">
        <x:v>第1条记忆（短期/工作流程）：在 OrderId_Month_Chart.xlsx 的 Chart 列中，为每个订单编号使用 1 月至 3 月数据创建迷你图。关键约束：每个 Order ID 一张迷你图；数据范围仅为 Jan-Mar；结果位于 Chart 列。</x:v>
      </x:c>
      <x:c r="AB443" s="39" t="str">
        <x:v>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C443" s="39" t="str">
        <x:v>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x:v>
      </x:c>
      <x:c r="AD443" s="39" t="str">
        <x:v>用户的完整请求是：“这次只做下面这个结果，别套用相似任务的做法：在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E443" s="39" t="str">
        <x:v>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443" s="50" t="str">
        <x:v>not_pass</x:v>
      </x:c>
      <x:c r="AG443" s="50" t="n">
        <x:v>0</x:v>
      </x:c>
    </x:row>
    <x:row r="444" ht="175.5" customHeight="1">
      <x:c r="A444" s="35" t="str">
        <x:v>V3_CF13_Q03</x:v>
      </x:c>
      <x:c r="B444" s="36" t="str">
        <x:v>SG_CONFLICT_CF13</x:v>
      </x:c>
      <x:c r="C444" s="36" t="str">
        <x:v>CF13</x:v>
      </x:c>
      <x:c r="D444" s="36" t="str">
        <x:v>订单序号与迷你图硬负例</x:v>
      </x:c>
      <x:c r="E444" s="36" t="str">
        <x:v>conflict_resolution</x:v>
      </x:c>
      <x:c r="F444" s="36" t="str">
        <x:v>contextual_ellipsis</x:v>
      </x:c>
      <x:c r="G444" s="36" t="str">
        <x:v>challenge</x:v>
      </x:c>
      <x:c r="H444" s="36" t="str">
        <x:v>困难</x:v>
      </x:c>
      <x:c r="I444" s="36" t="str">
        <x:v>7efeb4b1-3d19-4762-b163-63328d66303b|2bd59342-0664-4ccb-ba87-79379096cc08</x:v>
      </x:c>
      <x:c r="J444" s="36" t="str">
        <x:v>CTX_7efeb4b1-3d19-4762-b163-63328d66303b</x:v>
      </x:c>
      <x:c r="K444" s="36" t="str">
        <x:v>MTM_7efeb4b1-3d19-4762-b163-63328d66303b</x:v>
      </x:c>
      <x:c r="L444" s="36" t="str"/>
      <x:c r="M444" s="36" t="str">
        <x:v>STM_2bd59342-0664-4ccb-ba87-79379096cc08</x:v>
      </x:c>
      <x:c r="N444" s="36" t="str">
        <x:v>可复用模板</x:v>
      </x:c>
      <x:c r="O444" s="36" t="str">
        <x:v>中期</x:v>
      </x:c>
      <x:c r="P444" s="36" t="str">
        <x:v>["libreoffice_calc"]</x:v>
      </x:c>
      <x:c r="Q444" s="36" t="str">
        <x:v>[{"step_id":"S1","app":"libreoffice_calc","action_key":"fill_order_sequence_labels","input_artifacts":["Order_Sales_Serial#.xlsx"],"output_artifacts":["Order_Sales_Serial#.xlsx"],"depends_on":[]}]</x:v>
      </x:c>
      <x:c r="R444" s="36" t="str">
        <x:v>[]</x:v>
      </x:c>
      <x:c r="S444" s="36" t="str">
        <x:v>fill_order_sequence_labels</x:v>
      </x:c>
      <x:c r="T444" s="36" t="str">
        <x:v>Order_Sales_Serial#.xlsx</x:v>
      </x:c>
      <x:c r="U444" s="36" t="str">
        <x:v>retrieve_and_execute</x:v>
      </x:c>
      <x:c r="V444" s="36" t="str">
        <x:v>[{"point_id":"P1","description":"在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x:v>
      </x:c>
      <x:c r="W444" s="36" t="str">
        <x:v>1.00</x:v>
      </x:c>
      <x:c r="X444" s="39" t="str">
        <x:v>文件已经打开了，我要的是这套处理：在 Order_Sales_Serial#.xlsx 的 Seq No. 列中按顺序填入 No. # 格式的序号。</x:v>
      </x:c>
      <x:c r="Y444" s="39" t="str">
        <x:v>第1条记忆（中期/可复用模板）：在 Order_Sales_Serial#.xlsx 的 Seq No. 列中按顺序填入 No. # 格式的序号。关键约束：序号位于 Seq No. 列；格式为 No. 后接顺序编号；不修改无关区域。</x:v>
      </x:c>
      <x:c r="Z444" s="39" t="str">
        <x:v>不适用：当前题目不存在需要用户进一步选择的候选记忆。</x:v>
      </x:c>
      <x:c r="AA444" s="39" t="str">
        <x:v>第1条记忆（短期/工作流程）：在 OrderId_Month_Chart.xlsx 的 Chart 列中，为每个订单编号使用 1 月至 3 月数据创建迷你图。关键约束：每个 Order ID 一张迷你图；数据范围仅为 Jan-Mar；结果位于 Chart 列。</x:v>
      </x:c>
      <x:c r="AB444" s="39" t="str">
        <x:v>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C444" s="39" t="str">
        <x:v>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x:v>
      </x:c>
      <x:c r="AD444" s="39" t="str">
        <x:v>用户的完整请求是：“文件已经打开了，我要的是这套处理：在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E444" s="39" t="str">
        <x:v>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444" s="50" t="str">
        <x:v>not_pass</x:v>
      </x:c>
      <x:c r="AG444" s="50" t="n">
        <x:v>0</x:v>
      </x:c>
    </x:row>
    <x:row r="445" ht="175.5" customHeight="1">
      <x:c r="A445" s="35" t="str">
        <x:v>V3_CF13_Q04</x:v>
      </x:c>
      <x:c r="B445" s="36" t="str">
        <x:v>SG_CONFLICT_CF13</x:v>
      </x:c>
      <x:c r="C445" s="36" t="str">
        <x:v>CF13</x:v>
      </x:c>
      <x:c r="D445" s="36" t="str">
        <x:v>订单序号与迷你图硬负例</x:v>
      </x:c>
      <x:c r="E445" s="36" t="str">
        <x:v>conflict_resolution</x:v>
      </x:c>
      <x:c r="F445" s="36" t="str">
        <x:v>low_overlap_paraphrase</x:v>
      </x:c>
      <x:c r="G445" s="36" t="str">
        <x:v>challenge</x:v>
      </x:c>
      <x:c r="H445" s="36" t="str">
        <x:v>困难</x:v>
      </x:c>
      <x:c r="I445" s="36" t="str">
        <x:v>7efeb4b1-3d19-4762-b163-63328d66303b|2bd59342-0664-4ccb-ba87-79379096cc08</x:v>
      </x:c>
      <x:c r="J445" s="36" t="str">
        <x:v>CTX_7efeb4b1-3d19-4762-b163-63328d66303b</x:v>
      </x:c>
      <x:c r="K445" s="36" t="str">
        <x:v>MTM_7efeb4b1-3d19-4762-b163-63328d66303b</x:v>
      </x:c>
      <x:c r="L445" s="36" t="str"/>
      <x:c r="M445" s="36" t="str">
        <x:v>STM_2bd59342-0664-4ccb-ba87-79379096cc08</x:v>
      </x:c>
      <x:c r="N445" s="36" t="str">
        <x:v>可复用模板</x:v>
      </x:c>
      <x:c r="O445" s="36" t="str">
        <x:v>中期</x:v>
      </x:c>
      <x:c r="P445" s="36" t="str">
        <x:v>["libreoffice_calc"]</x:v>
      </x:c>
      <x:c r="Q445" s="36" t="str">
        <x:v>[{"step_id":"S1","app":"libreoffice_calc","action_key":"fill_order_sequence_labels","input_artifacts":["Order_Sales_Serial#.xlsx"],"output_artifacts":["Order_Sales_Serial#.xlsx"],"depends_on":[]}]</x:v>
      </x:c>
      <x:c r="R445" s="36" t="str">
        <x:v>[]</x:v>
      </x:c>
      <x:c r="S445" s="36" t="str">
        <x:v>fill_order_sequence_labels</x:v>
      </x:c>
      <x:c r="T445" s="36" t="str">
        <x:v>Order_Sales_Serial#.xlsx</x:v>
      </x:c>
      <x:c r="U445" s="36" t="str">
        <x:v>retrieve_and_execute</x:v>
      </x:c>
      <x:c r="V445" s="36" t="str">
        <x:v>[{"point_id":"P1","description":"在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x:v>
      </x:c>
      <x:c r="W445" s="36" t="str">
        <x:v>1.00</x:v>
      </x:c>
      <x:c r="X445" s="39" t="str">
        <x:v>前面的相似方案先不要用，当前目标是：在 Order_Sales_Serial#.xlsx 的 Seq No. 列中按顺序填入 No. # 格式的序号。</x:v>
      </x:c>
      <x:c r="Y445" s="39" t="str">
        <x:v>第1条记忆（中期/可复用模板）：在 Order_Sales_Serial#.xlsx 的 Seq No. 列中按顺序填入 No. # 格式的序号。关键约束：序号位于 Seq No. 列；格式为 No. 后接顺序编号；不修改无关区域。</x:v>
      </x:c>
      <x:c r="Z445" s="39" t="str">
        <x:v>不适用：当前题目不存在需要用户进一步选择的候选记忆。</x:v>
      </x:c>
      <x:c r="AA445" s="39" t="str">
        <x:v>第1条记忆（短期/工作流程）：在 OrderId_Month_Chart.xlsx 的 Chart 列中，为每个订单编号使用 1 月至 3 月数据创建迷你图。关键约束：每个 Order ID 一张迷你图；数据范围仅为 Jan-Mar；结果位于 Chart 列。</x:v>
      </x:c>
      <x:c r="AB445" s="39" t="str">
        <x:v>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C445" s="39" t="str">
        <x:v>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x:v>
      </x:c>
      <x:c r="AD445" s="39" t="str">
        <x:v>用户的完整请求是：“前面的相似方案先不要用，当前目标是：在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E445" s="39" t="str">
        <x:v>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445" s="50" t="str">
        <x:v>not_pass</x:v>
      </x:c>
      <x:c r="AG445" s="50" t="n">
        <x:v>0</x:v>
      </x:c>
    </x:row>
    <x:row r="446" ht="175.5" customHeight="1">
      <x:c r="A446" s="35" t="str">
        <x:v>V3_CF13_Q05</x:v>
      </x:c>
      <x:c r="B446" s="36" t="str">
        <x:v>SG_CONFLICT_CF13</x:v>
      </x:c>
      <x:c r="C446" s="36" t="str">
        <x:v>CF13</x:v>
      </x:c>
      <x:c r="D446" s="36" t="str">
        <x:v>订单序号与迷你图硬负例</x:v>
      </x:c>
      <x:c r="E446" s="36" t="str">
        <x:v>conflict_resolution</x:v>
      </x:c>
      <x:c r="F446" s="36" t="str">
        <x:v>human_constraint_emphasis</x:v>
      </x:c>
      <x:c r="G446" s="36" t="str">
        <x:v>challenge</x:v>
      </x:c>
      <x:c r="H446" s="36" t="str">
        <x:v>困难</x:v>
      </x:c>
      <x:c r="I446" s="36" t="str">
        <x:v>7efeb4b1-3d19-4762-b163-63328d66303b|2bd59342-0664-4ccb-ba87-79379096cc08</x:v>
      </x:c>
      <x:c r="J446" s="36" t="str">
        <x:v>CTX_7efeb4b1-3d19-4762-b163-63328d66303b</x:v>
      </x:c>
      <x:c r="K446" s="36" t="str">
        <x:v>MTM_7efeb4b1-3d19-4762-b163-63328d66303b</x:v>
      </x:c>
      <x:c r="L446" s="36" t="str"/>
      <x:c r="M446" s="36" t="str">
        <x:v>STM_2bd59342-0664-4ccb-ba87-79379096cc08</x:v>
      </x:c>
      <x:c r="N446" s="36" t="str">
        <x:v>可复用模板</x:v>
      </x:c>
      <x:c r="O446" s="36" t="str">
        <x:v>中期</x:v>
      </x:c>
      <x:c r="P446" s="36" t="str">
        <x:v>["libreoffice_calc"]</x:v>
      </x:c>
      <x:c r="Q446" s="36" t="str">
        <x:v>[{"step_id":"S1","app":"libreoffice_calc","action_key":"fill_order_sequence_labels","input_artifacts":["Order_Sales_Serial#.xlsx"],"output_artifacts":["Order_Sales_Serial#.xlsx"],"depends_on":[]}]</x:v>
      </x:c>
      <x:c r="R446" s="36" t="str">
        <x:v>[]</x:v>
      </x:c>
      <x:c r="S446" s="36" t="str">
        <x:v>fill_order_sequence_labels</x:v>
      </x:c>
      <x:c r="T446" s="36" t="str">
        <x:v>Order_Sales_Serial#.xlsx</x:v>
      </x:c>
      <x:c r="U446" s="36" t="str">
        <x:v>retrieve_and_execute</x:v>
      </x:c>
      <x:c r="V446" s="36" t="str">
        <x:v>[{"point_id":"P1","description":"在 Order_Sales_Serial#.xlsx 的 Seq No. 列中按顺序填入 No. # 格式的序号。","weight":0.8,"evidence_memory_ids":["MTM_7efeb4b1-3d19-4762-b163-63328d66303b"]},{"point_id":"P2","description":"不采用禁止记忆中的冲突操作，且不让错误方案替代必需结论","weight":0.2,"evidence_memory_ids":["MTM_7efeb4b1-3d19-4762-b163-63328d66303b","STM_2bd59342-0664-4ccb-ba87-79379096cc08"]}]</x:v>
      </x:c>
      <x:c r="W446" s="36" t="str">
        <x:v>1.00</x:v>
      </x:c>
      <x:c r="X446" s="39" t="str">
        <x:v>为了避免选错历史记录，我把要求再说一遍：在 Order_Sales_Serial#.xlsx 的 Seq No. 列中按顺序填入 No. # 格式的序号。</x:v>
      </x:c>
      <x:c r="Y446" s="39" t="str">
        <x:v>第1条记忆（中期/可复用模板）：在 Order_Sales_Serial#.xlsx 的 Seq No. 列中按顺序填入 No. # 格式的序号。关键约束：序号位于 Seq No. 列；格式为 No. 后接顺序编号；不修改无关区域。</x:v>
      </x:c>
      <x:c r="Z446" s="39" t="str">
        <x:v>不适用：当前题目不存在需要用户进一步选择的候选记忆。</x:v>
      </x:c>
      <x:c r="AA446" s="39" t="str">
        <x:v>第1条记忆（短期/工作流程）：在 OrderId_Month_Chart.xlsx 的 Chart 列中，为每个订单编号使用 1 月至 3 月数据创建迷你图。关键约束：每个 Order ID 一张迷你图；数据范围仅为 Jan-Mar；结果位于 Chart 列。</x:v>
      </x:c>
      <x:c r="AB446" s="39" t="str">
        <x:v>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C446" s="39" t="str">
        <x:v>第1项实际操作：在 Order_Sales_Serial#.xlsx 的 Seq No. 列中按顺序填入 No. # 格式的序号。执行时必须满足：序号位于 Seq No. 列；格式为 No. 后接顺序编号；不修改无关区域。 第1项禁止操作：在 OrderId_Month_Chart.xlsx 的 Chart 列中，为每个订单编号使用 1 月至 3 月数据创建迷你图。该操作不得替代或混入当前执行结果。</x:v>
      </x:c>
      <x:c r="AD446" s="39" t="str">
        <x:v>用户的完整请求是：“为了避免选错历史记录，我把要求再说一遍：在 Order_Sales_Serial#.xlsx 的 Seq No. 列中按顺序填入 No. # 格式的序号。” 第1个当前上下文：Order_Sales_Serial#.xlsx 已在 LibreOffice Calc 中打开。 与当前请求一致、应当调用的完整记忆如下：
第1条记忆（中期/可复用模板）：在 Order_Sales_Serial#.xlsx 的 Seq No. 列中按顺序填入 No. # 格式的序号。关键约束：序号位于 Seq No. 列；格式为 No. 后接顺序编号；不修改无关区域。
这些记忆描述的目标文件、操作对象、处理方式和输出结果与 Query 中明确表达的当前要求一致。与此同时，记忆库中还存在以下容易造成误检的完整禁止记忆：
第1条记忆（短期/工作流程）：在 OrderId_Month_Chart.xlsx 的 Chart 列中，为每个订单编号使用 1 月至 3 月数据创建迷你图。关键约束：每个 Order ID 一张迷你图；数据范围仅为 Jan-Mar；结果位于 Chart 列。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Order_Sales_Serial#.xlsx 的 Seq No. 列中按顺序填入 No. # 格式的序号。同时明确不得采用以下相似但不符合当前要求的方案：在 OrderId_Month_Chart.xlsx 的 Chart 列中，为每个订单编号使用 1 月至 3 月数据创建迷你图。”</x:v>
      </x:c>
      <x:c r="AE446" s="39" t="str">
        <x:v>本题总分为 1.00 分，各得分点独立累计，允许语义等价表达，不要求模型输出记忆 ID，也不要求逐字复述记忆原文。
第1个得分点（0.80分）：在 Order_Sales_Serial#.xlsx 的 Seq No. 列中按顺序填入 No. # 格式的序号。该得分点所依据的完整证据为：
第1条记忆（中期/可复用模板）：在 Order_Sales_Serial#.xlsx 的 Seq No. 列中按顺序填入 No. # 格式的序号。关键约束：序号位于 Seq No. 列；格式为 No. 后接顺序编号；不修改无关区域。
第2个得分点（0.20分）：不采用禁止记忆中的冲突操作，且不让错误方案替代必需结论。该得分点所依据的完整证据为：
第1条记忆（中期/可复用模板）：在 Order_Sales_Serial#.xlsx 的 Seq No. 列中按顺序填入 No. # 格式的序号。关键约束：序号位于 Seq No. 列；格式为 No. 后接顺序编号；不修改无关区域。
第2条记忆（短期/工作流程）：在 OrderId_Month_Chart.xlsx 的 Chart 列中，为每个订单编号使用 1 月至 3 月数据创建迷你图。关键约束：每个 Order ID 一张迷你图；数据范围仅为 Jan-Mar；结果位于 Chart 列。
人工复审时，应依据模型最终给出的信息和实际操作是否满足上述每个得分点分别给分；只命中记忆 ID 但没有形成对应结论不能获得该结论分，形成了正确结论但表达方式不同则不应扣分。</x:v>
      </x:c>
      <x:c r="AF446" s="50" t="str">
        <x:v>not_pass</x:v>
      </x:c>
      <x:c r="AG446" s="50" t="n">
        <x:v>0</x:v>
      </x:c>
    </x:row>
    <x:row r="447" ht="175.5" customHeight="1">
      <x:c r="A447" s="35" t="str">
        <x:v>V3_CF14_Q01</x:v>
      </x:c>
      <x:c r="B447" s="36" t="str">
        <x:v>SG_CONFLICT_CF14</x:v>
      </x:c>
      <x:c r="C447" s="36" t="str">
        <x:v>CF14</x:v>
      </x:c>
      <x:c r="D447" s="36" t="str">
        <x:v>周末高亮与隐藏 N/A 硬负例</x:v>
      </x:c>
      <x:c r="E447" s="36" t="str">
        <x:v>conflict_resolution</x:v>
      </x:c>
      <x:c r="F447" s="36" t="str">
        <x:v>human_context_explicit</x:v>
      </x:c>
      <x:c r="G447" s="36" t="str">
        <x:v>challenge</x:v>
      </x:c>
      <x:c r="H447" s="36" t="str">
        <x:v>困难</x:v>
      </x:c>
      <x:c r="I447" s="36" t="str">
        <x:v>8b1ce5f2-59d2-4dcc-b0b0-666a714b9a14|6054afcb-5bab-4702-90a0-b259b5d3217c</x:v>
      </x:c>
      <x:c r="J447" s="36" t="str">
        <x:v>CTX_8b1ce5f2-59d2-4dcc-b0b0-666a714b9a14</x:v>
      </x:c>
      <x:c r="K447" s="36" t="str">
        <x:v>LTM_8b1ce5f2-59d2-4dcc-b0b0-666a714b9a14</x:v>
      </x:c>
      <x:c r="L447" s="36" t="str"/>
      <x:c r="M447" s="36" t="str">
        <x:v>STM_6054afcb-5bab-4702-90a0-b259b5d3217c</x:v>
      </x:c>
      <x:c r="N447" s="36" t="str">
        <x:v>可复用模板</x:v>
      </x:c>
      <x:c r="O447" s="36" t="str">
        <x:v>长期</x:v>
      </x:c>
      <x:c r="P447" s="36" t="str">
        <x:v>["libreoffice_calc"]</x:v>
      </x:c>
      <x:c r="Q447" s="36" t="str">
        <x:v>[{"step_id":"S1","app":"libreoffice_calc","action_key":"highlight_calendar_weekends_red","input_artifacts":["Calendar_Highlight_Weekend_Days.xlsx"],"output_artifacts":["Calendar_Highlight_Weekend_Days.xlsx"],"depends_on":[]}]</x:v>
      </x:c>
      <x:c r="R447" s="36" t="str">
        <x:v>[]</x:v>
      </x:c>
      <x:c r="S447" s="36" t="str">
        <x:v>highlight_calendar_weekends_red</x:v>
      </x:c>
      <x:c r="T447" s="36" t="str">
        <x:v>Calendar_Highlight_Weekend_Days.xlsx</x:v>
      </x:c>
      <x:c r="U447" s="36" t="str">
        <x:v>retrieve_and_execute</x:v>
      </x:c>
      <x:c r="V447" s="36" t="str">
        <x:v>[{"point_id":"P1","description":"在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x:v>
      </x:c>
      <x:c r="W447" s="36" t="str">
        <x:v>1.00</x:v>
      </x:c>
      <x:c r="X447" s="39" t="str">
        <x:v>我正在处理这份表，按之前确认的这一版来：在 Calendar_Highlight_Weekend_Days.xlsx 的不完整日历中识别所有周六和周日，并把对应单元格背景设置为红色 #ff0000。</x:v>
      </x:c>
      <x:c r="Y447" s="39" t="str">
        <x:v>第1条记忆（长期/可复用模板）：在 Calendar_Highlight_Weekend_Days.xlsx 的不完整日历中识别所有周六和周日，并把对应单元格背景设置为红色 #ff0000。关键约束：只高亮周六和周日；背景色为 #ff0000；不修改无关区域。</x:v>
      </x:c>
      <x:c r="Z447" s="39" t="str">
        <x:v>不适用：当前题目不存在需要用户进一步选择的候选记忆。</x:v>
      </x:c>
      <x:c r="AA447" s="39" t="str">
        <x:v>第1条记忆（短期/工作流程）：在 Date_Budget_Variance_HideNA.xlsx 中暂时隐藏表格里的 N/A 显示，但不删除任何单元格，也不使用筛选功能。关键约束：不得删除单元格；不得使用筛选；只隐藏 N/A 的可见显示。</x:v>
      </x:c>
      <x:c r="AB447" s="39" t="str">
        <x:v>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C447" s="39" t="str">
        <x:v>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x:v>
      </x:c>
      <x:c r="AD447" s="39" t="str">
        <x:v>用户的完整请求是：“我正在处理这份表，按之前确认的这一版来：在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E447" s="39" t="str">
        <x:v>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447" s="50" t="str">
        <x:v>not_pass</x:v>
      </x:c>
      <x:c r="AG447" s="50" t="n">
        <x:v>0</x:v>
      </x:c>
    </x:row>
    <x:row r="448" ht="175.5" customHeight="1">
      <x:c r="A448" s="35" t="str">
        <x:v>V3_CF14_Q02</x:v>
      </x:c>
      <x:c r="B448" s="36" t="str">
        <x:v>SG_CONFLICT_CF14</x:v>
      </x:c>
      <x:c r="C448" s="36" t="str">
        <x:v>CF14</x:v>
      </x:c>
      <x:c r="D448" s="36" t="str">
        <x:v>周末高亮与隐藏 N/A 硬负例</x:v>
      </x:c>
      <x:c r="E448" s="36" t="str">
        <x:v>conflict_resolution</x:v>
      </x:c>
      <x:c r="F448" s="36" t="str">
        <x:v>human_goal_oriented</x:v>
      </x:c>
      <x:c r="G448" s="36" t="str">
        <x:v>challenge</x:v>
      </x:c>
      <x:c r="H448" s="36" t="str">
        <x:v>困难</x:v>
      </x:c>
      <x:c r="I448" s="36" t="str">
        <x:v>8b1ce5f2-59d2-4dcc-b0b0-666a714b9a14|6054afcb-5bab-4702-90a0-b259b5d3217c</x:v>
      </x:c>
      <x:c r="J448" s="36" t="str">
        <x:v>CTX_8b1ce5f2-59d2-4dcc-b0b0-666a714b9a14</x:v>
      </x:c>
      <x:c r="K448" s="36" t="str">
        <x:v>LTM_8b1ce5f2-59d2-4dcc-b0b0-666a714b9a14</x:v>
      </x:c>
      <x:c r="L448" s="36" t="str"/>
      <x:c r="M448" s="36" t="str">
        <x:v>STM_6054afcb-5bab-4702-90a0-b259b5d3217c</x:v>
      </x:c>
      <x:c r="N448" s="36" t="str">
        <x:v>可复用模板</x:v>
      </x:c>
      <x:c r="O448" s="36" t="str">
        <x:v>长期</x:v>
      </x:c>
      <x:c r="P448" s="36" t="str">
        <x:v>["libreoffice_calc"]</x:v>
      </x:c>
      <x:c r="Q448" s="36" t="str">
        <x:v>[{"step_id":"S1","app":"libreoffice_calc","action_key":"highlight_calendar_weekends_red","input_artifacts":["Calendar_Highlight_Weekend_Days.xlsx"],"output_artifacts":["Calendar_Highlight_Weekend_Days.xlsx"],"depends_on":[]}]</x:v>
      </x:c>
      <x:c r="R448" s="36" t="str">
        <x:v>[]</x:v>
      </x:c>
      <x:c r="S448" s="36" t="str">
        <x:v>highlight_calendar_weekends_red</x:v>
      </x:c>
      <x:c r="T448" s="36" t="str">
        <x:v>Calendar_Highlight_Weekend_Days.xlsx</x:v>
      </x:c>
      <x:c r="U448" s="36" t="str">
        <x:v>retrieve_and_execute</x:v>
      </x:c>
      <x:c r="V448" s="36" t="str">
        <x:v>[{"point_id":"P1","description":"在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x:v>
      </x:c>
      <x:c r="W448" s="36" t="str">
        <x:v>1.00</x:v>
      </x:c>
      <x:c r="X448" s="39" t="str">
        <x:v>这次只做下面这个结果，别套用相似任务的做法：在 Calendar_Highlight_Weekend_Days.xlsx 的不完整日历中识别所有周六和周日，并把对应单元格背景设置为红色 #ff0000。</x:v>
      </x:c>
      <x:c r="Y448" s="39" t="str">
        <x:v>第1条记忆（长期/可复用模板）：在 Calendar_Highlight_Weekend_Days.xlsx 的不完整日历中识别所有周六和周日，并把对应单元格背景设置为红色 #ff0000。关键约束：只高亮周六和周日；背景色为 #ff0000；不修改无关区域。</x:v>
      </x:c>
      <x:c r="Z448" s="39" t="str">
        <x:v>不适用：当前题目不存在需要用户进一步选择的候选记忆。</x:v>
      </x:c>
      <x:c r="AA448" s="39" t="str">
        <x:v>第1条记忆（短期/工作流程）：在 Date_Budget_Variance_HideNA.xlsx 中暂时隐藏表格里的 N/A 显示，但不删除任何单元格，也不使用筛选功能。关键约束：不得删除单元格；不得使用筛选；只隐藏 N/A 的可见显示。</x:v>
      </x:c>
      <x:c r="AB448" s="39" t="str">
        <x:v>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C448" s="39" t="str">
        <x:v>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x:v>
      </x:c>
      <x:c r="AD448" s="39" t="str">
        <x:v>用户的完整请求是：“这次只做下面这个结果，别套用相似任务的做法：在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E448" s="39" t="str">
        <x:v>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448" s="50" t="str">
        <x:v>not_pass</x:v>
      </x:c>
      <x:c r="AG448" s="50" t="n">
        <x:v>0</x:v>
      </x:c>
    </x:row>
    <x:row r="449" ht="175.5" customHeight="1">
      <x:c r="A449" s="35" t="str">
        <x:v>V3_CF14_Q03</x:v>
      </x:c>
      <x:c r="B449" s="36" t="str">
        <x:v>SG_CONFLICT_CF14</x:v>
      </x:c>
      <x:c r="C449" s="36" t="str">
        <x:v>CF14</x:v>
      </x:c>
      <x:c r="D449" s="36" t="str">
        <x:v>周末高亮与隐藏 N/A 硬负例</x:v>
      </x:c>
      <x:c r="E449" s="36" t="str">
        <x:v>conflict_resolution</x:v>
      </x:c>
      <x:c r="F449" s="36" t="str">
        <x:v>contextual_ellipsis</x:v>
      </x:c>
      <x:c r="G449" s="36" t="str">
        <x:v>challenge</x:v>
      </x:c>
      <x:c r="H449" s="36" t="str">
        <x:v>困难</x:v>
      </x:c>
      <x:c r="I449" s="36" t="str">
        <x:v>8b1ce5f2-59d2-4dcc-b0b0-666a714b9a14|6054afcb-5bab-4702-90a0-b259b5d3217c</x:v>
      </x:c>
      <x:c r="J449" s="36" t="str">
        <x:v>CTX_8b1ce5f2-59d2-4dcc-b0b0-666a714b9a14</x:v>
      </x:c>
      <x:c r="K449" s="36" t="str">
        <x:v>LTM_8b1ce5f2-59d2-4dcc-b0b0-666a714b9a14</x:v>
      </x:c>
      <x:c r="L449" s="36" t="str"/>
      <x:c r="M449" s="36" t="str">
        <x:v>STM_6054afcb-5bab-4702-90a0-b259b5d3217c</x:v>
      </x:c>
      <x:c r="N449" s="36" t="str">
        <x:v>可复用模板</x:v>
      </x:c>
      <x:c r="O449" s="36" t="str">
        <x:v>长期</x:v>
      </x:c>
      <x:c r="P449" s="36" t="str">
        <x:v>["libreoffice_calc"]</x:v>
      </x:c>
      <x:c r="Q449" s="36" t="str">
        <x:v>[{"step_id":"S1","app":"libreoffice_calc","action_key":"highlight_calendar_weekends_red","input_artifacts":["Calendar_Highlight_Weekend_Days.xlsx"],"output_artifacts":["Calendar_Highlight_Weekend_Days.xlsx"],"depends_on":[]}]</x:v>
      </x:c>
      <x:c r="R449" s="36" t="str">
        <x:v>[]</x:v>
      </x:c>
      <x:c r="S449" s="36" t="str">
        <x:v>highlight_calendar_weekends_red</x:v>
      </x:c>
      <x:c r="T449" s="36" t="str">
        <x:v>Calendar_Highlight_Weekend_Days.xlsx</x:v>
      </x:c>
      <x:c r="U449" s="36" t="str">
        <x:v>retrieve_and_execute</x:v>
      </x:c>
      <x:c r="V449" s="36" t="str">
        <x:v>[{"point_id":"P1","description":"在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x:v>
      </x:c>
      <x:c r="W449" s="36" t="str">
        <x:v>1.00</x:v>
      </x:c>
      <x:c r="X449" s="39" t="str">
        <x:v>文件已经打开了，我要的是这套处理：在 Calendar_Highlight_Weekend_Days.xlsx 的不完整日历中识别所有周六和周日，并把对应单元格背景设置为红色 #ff0000。</x:v>
      </x:c>
      <x:c r="Y449" s="39" t="str">
        <x:v>第1条记忆（长期/可复用模板）：在 Calendar_Highlight_Weekend_Days.xlsx 的不完整日历中识别所有周六和周日，并把对应单元格背景设置为红色 #ff0000。关键约束：只高亮周六和周日；背景色为 #ff0000；不修改无关区域。</x:v>
      </x:c>
      <x:c r="Z449" s="39" t="str">
        <x:v>不适用：当前题目不存在需要用户进一步选择的候选记忆。</x:v>
      </x:c>
      <x:c r="AA449" s="39" t="str">
        <x:v>第1条记忆（短期/工作流程）：在 Date_Budget_Variance_HideNA.xlsx 中暂时隐藏表格里的 N/A 显示，但不删除任何单元格，也不使用筛选功能。关键约束：不得删除单元格；不得使用筛选；只隐藏 N/A 的可见显示。</x:v>
      </x:c>
      <x:c r="AB449" s="39" t="str">
        <x:v>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C449" s="39" t="str">
        <x:v>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x:v>
      </x:c>
      <x:c r="AD449" s="39" t="str">
        <x:v>用户的完整请求是：“文件已经打开了，我要的是这套处理：在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E449" s="39" t="str">
        <x:v>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449" s="50" t="str">
        <x:v>not_pass</x:v>
      </x:c>
      <x:c r="AG449" s="50" t="n">
        <x:v>0</x:v>
      </x:c>
    </x:row>
    <x:row r="450" ht="175.5" customHeight="1">
      <x:c r="A450" s="35" t="str">
        <x:v>V3_CF14_Q04</x:v>
      </x:c>
      <x:c r="B450" s="36" t="str">
        <x:v>SG_CONFLICT_CF14</x:v>
      </x:c>
      <x:c r="C450" s="36" t="str">
        <x:v>CF14</x:v>
      </x:c>
      <x:c r="D450" s="36" t="str">
        <x:v>周末高亮与隐藏 N/A 硬负例</x:v>
      </x:c>
      <x:c r="E450" s="36" t="str">
        <x:v>conflict_resolution</x:v>
      </x:c>
      <x:c r="F450" s="36" t="str">
        <x:v>low_overlap_paraphrase</x:v>
      </x:c>
      <x:c r="G450" s="36" t="str">
        <x:v>challenge</x:v>
      </x:c>
      <x:c r="H450" s="36" t="str">
        <x:v>困难</x:v>
      </x:c>
      <x:c r="I450" s="36" t="str">
        <x:v>8b1ce5f2-59d2-4dcc-b0b0-666a714b9a14|6054afcb-5bab-4702-90a0-b259b5d3217c</x:v>
      </x:c>
      <x:c r="J450" s="36" t="str">
        <x:v>CTX_8b1ce5f2-59d2-4dcc-b0b0-666a714b9a14</x:v>
      </x:c>
      <x:c r="K450" s="36" t="str">
        <x:v>LTM_8b1ce5f2-59d2-4dcc-b0b0-666a714b9a14</x:v>
      </x:c>
      <x:c r="L450" s="36" t="str"/>
      <x:c r="M450" s="36" t="str">
        <x:v>STM_6054afcb-5bab-4702-90a0-b259b5d3217c</x:v>
      </x:c>
      <x:c r="N450" s="36" t="str">
        <x:v>可复用模板</x:v>
      </x:c>
      <x:c r="O450" s="36" t="str">
        <x:v>长期</x:v>
      </x:c>
      <x:c r="P450" s="36" t="str">
        <x:v>["libreoffice_calc"]</x:v>
      </x:c>
      <x:c r="Q450" s="36" t="str">
        <x:v>[{"step_id":"S1","app":"libreoffice_calc","action_key":"highlight_calendar_weekends_red","input_artifacts":["Calendar_Highlight_Weekend_Days.xlsx"],"output_artifacts":["Calendar_Highlight_Weekend_Days.xlsx"],"depends_on":[]}]</x:v>
      </x:c>
      <x:c r="R450" s="36" t="str">
        <x:v>[]</x:v>
      </x:c>
      <x:c r="S450" s="36" t="str">
        <x:v>highlight_calendar_weekends_red</x:v>
      </x:c>
      <x:c r="T450" s="36" t="str">
        <x:v>Calendar_Highlight_Weekend_Days.xlsx</x:v>
      </x:c>
      <x:c r="U450" s="36" t="str">
        <x:v>retrieve_and_execute</x:v>
      </x:c>
      <x:c r="V450" s="36" t="str">
        <x:v>[{"point_id":"P1","description":"在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x:v>
      </x:c>
      <x:c r="W450" s="36" t="str">
        <x:v>1.00</x:v>
      </x:c>
      <x:c r="X450" s="39" t="str">
        <x:v>前面的相似方案先不要用，当前目标是：在 Calendar_Highlight_Weekend_Days.xlsx 的不完整日历中识别所有周六和周日，并把对应单元格背景设置为红色 #ff0000。</x:v>
      </x:c>
      <x:c r="Y450" s="39" t="str">
        <x:v>第1条记忆（长期/可复用模板）：在 Calendar_Highlight_Weekend_Days.xlsx 的不完整日历中识别所有周六和周日，并把对应单元格背景设置为红色 #ff0000。关键约束：只高亮周六和周日；背景色为 #ff0000；不修改无关区域。</x:v>
      </x:c>
      <x:c r="Z450" s="39" t="str">
        <x:v>不适用：当前题目不存在需要用户进一步选择的候选记忆。</x:v>
      </x:c>
      <x:c r="AA450" s="39" t="str">
        <x:v>第1条记忆（短期/工作流程）：在 Date_Budget_Variance_HideNA.xlsx 中暂时隐藏表格里的 N/A 显示，但不删除任何单元格，也不使用筛选功能。关键约束：不得删除单元格；不得使用筛选；只隐藏 N/A 的可见显示。</x:v>
      </x:c>
      <x:c r="AB450" s="39" t="str">
        <x:v>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C450" s="39" t="str">
        <x:v>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x:v>
      </x:c>
      <x:c r="AD450" s="39" t="str">
        <x:v>用户的完整请求是：“前面的相似方案先不要用，当前目标是：在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E450" s="39" t="str">
        <x:v>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450" s="50" t="str">
        <x:v>not_pass</x:v>
      </x:c>
      <x:c r="AG450" s="50" t="n">
        <x:v>0</x:v>
      </x:c>
    </x:row>
    <x:row r="451" ht="175.5" customHeight="1">
      <x:c r="A451" s="35" t="str">
        <x:v>V3_CF14_Q05</x:v>
      </x:c>
      <x:c r="B451" s="36" t="str">
        <x:v>SG_CONFLICT_CF14</x:v>
      </x:c>
      <x:c r="C451" s="36" t="str">
        <x:v>CF14</x:v>
      </x:c>
      <x:c r="D451" s="36" t="str">
        <x:v>周末高亮与隐藏 N/A 硬负例</x:v>
      </x:c>
      <x:c r="E451" s="36" t="str">
        <x:v>conflict_resolution</x:v>
      </x:c>
      <x:c r="F451" s="36" t="str">
        <x:v>human_constraint_emphasis</x:v>
      </x:c>
      <x:c r="G451" s="36" t="str">
        <x:v>challenge</x:v>
      </x:c>
      <x:c r="H451" s="36" t="str">
        <x:v>困难</x:v>
      </x:c>
      <x:c r="I451" s="36" t="str">
        <x:v>8b1ce5f2-59d2-4dcc-b0b0-666a714b9a14|6054afcb-5bab-4702-90a0-b259b5d3217c</x:v>
      </x:c>
      <x:c r="J451" s="36" t="str">
        <x:v>CTX_8b1ce5f2-59d2-4dcc-b0b0-666a714b9a14</x:v>
      </x:c>
      <x:c r="K451" s="36" t="str">
        <x:v>LTM_8b1ce5f2-59d2-4dcc-b0b0-666a714b9a14</x:v>
      </x:c>
      <x:c r="L451" s="36" t="str"/>
      <x:c r="M451" s="36" t="str">
        <x:v>STM_6054afcb-5bab-4702-90a0-b259b5d3217c</x:v>
      </x:c>
      <x:c r="N451" s="36" t="str">
        <x:v>可复用模板</x:v>
      </x:c>
      <x:c r="O451" s="36" t="str">
        <x:v>长期</x:v>
      </x:c>
      <x:c r="P451" s="36" t="str">
        <x:v>["libreoffice_calc"]</x:v>
      </x:c>
      <x:c r="Q451" s="36" t="str">
        <x:v>[{"step_id":"S1","app":"libreoffice_calc","action_key":"highlight_calendar_weekends_red","input_artifacts":["Calendar_Highlight_Weekend_Days.xlsx"],"output_artifacts":["Calendar_Highlight_Weekend_Days.xlsx"],"depends_on":[]}]</x:v>
      </x:c>
      <x:c r="R451" s="36" t="str">
        <x:v>[]</x:v>
      </x:c>
      <x:c r="S451" s="36" t="str">
        <x:v>highlight_calendar_weekends_red</x:v>
      </x:c>
      <x:c r="T451" s="36" t="str">
        <x:v>Calendar_Highlight_Weekend_Days.xlsx</x:v>
      </x:c>
      <x:c r="U451" s="36" t="str">
        <x:v>retrieve_and_execute</x:v>
      </x:c>
      <x:c r="V451" s="36" t="str">
        <x:v>[{"point_id":"P1","description":"在 Calendar_Highlight_Weekend_Days.xlsx 的不完整日历中识别所有周六和周日，并把对应单元格背景设置为红色 #ff0000。","weight":0.8,"evidence_memory_ids":["LTM_8b1ce5f2-59d2-4dcc-b0b0-666a714b9a14"]},{"point_id":"P2","description":"不采用禁止记忆中的冲突操作，且不让错误方案替代必需结论","weight":0.2,"evidence_memory_ids":["LTM_8b1ce5f2-59d2-4dcc-b0b0-666a714b9a14","STM_6054afcb-5bab-4702-90a0-b259b5d3217c"]}]</x:v>
      </x:c>
      <x:c r="W451" s="36" t="str">
        <x:v>1.00</x:v>
      </x:c>
      <x:c r="X451" s="39" t="str">
        <x:v>为了避免选错历史记录，我把要求再说一遍：在 Calendar_Highlight_Weekend_Days.xlsx 的不完整日历中识别所有周六和周日，并把对应单元格背景设置为红色 #ff0000。</x:v>
      </x:c>
      <x:c r="Y451" s="39" t="str">
        <x:v>第1条记忆（长期/可复用模板）：在 Calendar_Highlight_Weekend_Days.xlsx 的不完整日历中识别所有周六和周日，并把对应单元格背景设置为红色 #ff0000。关键约束：只高亮周六和周日；背景色为 #ff0000；不修改无关区域。</x:v>
      </x:c>
      <x:c r="Z451" s="39" t="str">
        <x:v>不适用：当前题目不存在需要用户进一步选择的候选记忆。</x:v>
      </x:c>
      <x:c r="AA451" s="39" t="str">
        <x:v>第1条记忆（短期/工作流程）：在 Date_Budget_Variance_HideNA.xlsx 中暂时隐藏表格里的 N/A 显示，但不删除任何单元格，也不使用筛选功能。关键约束：不得删除单元格；不得使用筛选；只隐藏 N/A 的可见显示。</x:v>
      </x:c>
      <x:c r="AB451" s="39" t="str">
        <x:v>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C451" s="39" t="str">
        <x:v>第1项实际操作：在 Calendar_Highlight_Weekend_Days.xlsx 的不完整日历中识别所有周六和周日，并把对应单元格背景设置为红色 #ff0000。执行时必须满足：只高亮周六和周日；背景色为 #ff0000；不修改无关区域。 第1项禁止操作：在 Date_Budget_Variance_HideNA.xlsx 中暂时隐藏表格里的 N/A 显示，但不删除任何单元格，也不使用筛选功能。该操作不得替代或混入当前执行结果。</x:v>
      </x:c>
      <x:c r="AD451" s="39" t="str">
        <x:v>用户的完整请求是：“为了避免选错历史记录，我把要求再说一遍：在 Calendar_Highlight_Weekend_Days.xlsx 的不完整日历中识别所有周六和周日，并把对应单元格背景设置为红色 #ff0000。” 第1个当前上下文：Calendar_Highlight_Weekend_Days.xlsx 已在 LibreOffice Calc 中打开。 与当前请求一致、应当调用的完整记忆如下：
第1条记忆（长期/可复用模板）：在 Calendar_Highlight_Weekend_Days.xlsx 的不完整日历中识别所有周六和周日，并把对应单元格背景设置为红色 #ff0000。关键约束：只高亮周六和周日；背景色为 #ff0000；不修改无关区域。
这些记忆描述的目标文件、操作对象、处理方式和输出结果与 Query 中明确表达的当前要求一致。与此同时，记忆库中还存在以下容易造成误检的完整禁止记忆：
第1条记忆（短期/工作流程）：在 Date_Budget_Variance_HideNA.xlsx 中暂时隐藏表格里的 N/A 显示，但不删除任何单元格，也不使用筛选功能。关键约束：不得删除单元格；不得使用筛选；只隐藏 N/A 的可见显示。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Calendar_Highlight_Weekend_Days.xlsx 的不完整日历中识别所有周六和周日，并把对应单元格背景设置为红色 #ff0000。同时明确不得采用以下相似但不符合当前要求的方案：在 Date_Budget_Variance_HideNA.xlsx 中暂时隐藏表格里的 N/A 显示，但不删除任何单元格，也不使用筛选功能。”</x:v>
      </x:c>
      <x:c r="AE451" s="39" t="str">
        <x:v>本题总分为 1.00 分，各得分点独立累计，允许语义等价表达，不要求模型输出记忆 ID，也不要求逐字复述记忆原文。
第1个得分点（0.80分）：在 Calendar_Highlight_Weekend_Days.xlsx 的不完整日历中识别所有周六和周日，并把对应单元格背景设置为红色 #ff0000。该得分点所依据的完整证据为：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第2个得分点（0.20分）：不采用禁止记忆中的冲突操作，且不让错误方案替代必需结论。该得分点所依据的完整证据为：
第1条记忆（长期/可复用模板）：在 Calendar_Highlight_Weekend_Days.xlsx 的不完整日历中识别所有周六和周日，并把对应单元格背景设置为红色 #ff0000。关键约束：只高亮周六和周日；背景色为 #ff0000；不修改无关区域。
第2条记忆（短期/工作流程）：在 Date_Budget_Variance_HideNA.xlsx 中暂时隐藏表格里的 N/A 显示，但不删除任何单元格，也不使用筛选功能。关键约束：不得删除单元格；不得使用筛选；只隐藏 N/A 的可见显示。
人工复审时，应依据模型最终给出的信息和实际操作是否满足上述每个得分点分别给分；只命中记忆 ID 但没有形成对应结论不能获得该结论分，形成了正确结论但表达方式不同则不应扣分。</x:v>
      </x:c>
      <x:c r="AF451" s="50" t="str">
        <x:v>not_pass</x:v>
      </x:c>
      <x:c r="AG451" s="50" t="n">
        <x:v>0</x:v>
      </x:c>
    </x:row>
    <x:row r="452" ht="189" customHeight="1">
      <x:c r="A452" s="35" t="str">
        <x:v>V3_CF15_Q01</x:v>
      </x:c>
      <x:c r="B452" s="36" t="str">
        <x:v>SG_CONFLICT_CF15</x:v>
      </x:c>
      <x:c r="C452" s="36" t="str">
        <x:v>CF15</x:v>
      </x:c>
      <x:c r="D452" s="36" t="str">
        <x:v>人员查找与空白填充硬负例</x:v>
      </x:c>
      <x:c r="E452" s="36" t="str">
        <x:v>conflict_resolution</x:v>
      </x:c>
      <x:c r="F452" s="36" t="str">
        <x:v>human_context_explicit</x:v>
      </x:c>
      <x:c r="G452" s="36" t="str">
        <x:v>challenge</x:v>
      </x:c>
      <x:c r="H452" s="36" t="str">
        <x:v>困难</x:v>
      </x:c>
      <x:c r="I452" s="36" t="str">
        <x:v>7e429b8d-a3f0-4ed0-9b58-08957d00b127|01b269ae-2111-4a07-81fd-3fcd711993b0</x:v>
      </x:c>
      <x:c r="J452" s="36" t="str">
        <x:v>CTX_7e429b8d-a3f0-4ed0-9b58-08957d00b127</x:v>
      </x:c>
      <x:c r="K452" s="36" t="str">
        <x:v>STM_7e429b8d-a3f0-4ed0-9b58-08957d00b127</x:v>
      </x:c>
      <x:c r="L452" s="36" t="str"/>
      <x:c r="M452" s="36" t="str">
        <x:v>STM_01b269ae-2111-4a07-81fd-3fcd711993b0</x:v>
      </x:c>
      <x:c r="N452" s="36" t="str">
        <x:v>知识</x:v>
      </x:c>
      <x:c r="O452" s="36" t="str">
        <x:v>短期</x:v>
      </x:c>
      <x:c r="P452" s="36" t="str">
        <x:v>["libreoffice_calc"]</x:v>
      </x:c>
      <x:c r="Q452" s="36" t="str">
        <x:v>[{"step_id":"S1","app":"libreoffice_calc","action_key":"fill_branch_officers_from_lookup","input_artifacts":["VLOOKUP_Fill_the_form.xlsx"],"output_artifacts":["VLOOKUP_Fill_the_form.xlsx"],"depends_on":[]}]</x:v>
      </x:c>
      <x:c r="R452" s="36" t="str">
        <x:v>[]</x:v>
      </x:c>
      <x:c r="S452" s="36" t="str">
        <x:v>fill_branch_officers_from_lookup</x:v>
      </x:c>
      <x:c r="T452" s="36" t="str">
        <x:v>VLOOKUP_Fill_the_form.xlsx</x:v>
      </x:c>
      <x:c r="U452" s="36" t="str">
        <x:v>retrieve_and_execute</x:v>
      </x:c>
      <x:c r="V452" s="36" t="str">
        <x:v>[{"point_id":"P1","description":"在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x:v>
      </x:c>
      <x:c r="W452" s="36" t="str">
        <x:v>1.00</x:v>
      </x:c>
      <x:c r="X452" s="39" t="str">
        <x:v>我正在处理这份表，按之前确认的这一版来：在 VLOOKUP_Fill_the_form.xlsx 中根据分支机构对照表，以 headoffice/branch name 为键查找对应 officer，并填入另一张表的 officer name 字段。</x:v>
      </x:c>
      <x:c r="Y452"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452" s="39" t="str">
        <x:v>不适用：当前题目不存在需要用户进一步选择的候选记忆。</x:v>
      </x:c>
      <x:c r="AA452" s="39" t="str">
        <x:v>第1条记忆（短期/工作流程）：处理 Student_Level_Fill_Blank.xlsx 时，将 B1:E30 内的空白单元格填成其上方单元格的值，并保持其他区域不变。关键约束：仅处理 B1:E30；不修改其他区域，即使其他区域也为空白。</x:v>
      </x:c>
      <x:c r="AB452" s="39" t="str">
        <x:v>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C452"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x:v>
      </x:c>
      <x:c r="AD452" s="39" t="str">
        <x:v>用户的完整请求是：“我正在处理这份表，按之前确认的这一版来：在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E452" s="39" t="str">
        <x:v>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52" s="50" t="str">
        <x:v>not_pass</x:v>
      </x:c>
      <x:c r="AG452" s="50" t="n">
        <x:v>0</x:v>
      </x:c>
    </x:row>
    <x:row r="453" ht="189" customHeight="1">
      <x:c r="A453" s="35" t="str">
        <x:v>V3_CF15_Q02</x:v>
      </x:c>
      <x:c r="B453" s="36" t="str">
        <x:v>SG_CONFLICT_CF15</x:v>
      </x:c>
      <x:c r="C453" s="36" t="str">
        <x:v>CF15</x:v>
      </x:c>
      <x:c r="D453" s="36" t="str">
        <x:v>人员查找与空白填充硬负例</x:v>
      </x:c>
      <x:c r="E453" s="36" t="str">
        <x:v>conflict_resolution</x:v>
      </x:c>
      <x:c r="F453" s="36" t="str">
        <x:v>human_goal_oriented</x:v>
      </x:c>
      <x:c r="G453" s="36" t="str">
        <x:v>challenge</x:v>
      </x:c>
      <x:c r="H453" s="36" t="str">
        <x:v>困难</x:v>
      </x:c>
      <x:c r="I453" s="36" t="str">
        <x:v>7e429b8d-a3f0-4ed0-9b58-08957d00b127|01b269ae-2111-4a07-81fd-3fcd711993b0</x:v>
      </x:c>
      <x:c r="J453" s="36" t="str">
        <x:v>CTX_7e429b8d-a3f0-4ed0-9b58-08957d00b127</x:v>
      </x:c>
      <x:c r="K453" s="36" t="str">
        <x:v>STM_7e429b8d-a3f0-4ed0-9b58-08957d00b127</x:v>
      </x:c>
      <x:c r="L453" s="36" t="str"/>
      <x:c r="M453" s="36" t="str">
        <x:v>STM_01b269ae-2111-4a07-81fd-3fcd711993b0</x:v>
      </x:c>
      <x:c r="N453" s="36" t="str">
        <x:v>知识</x:v>
      </x:c>
      <x:c r="O453" s="36" t="str">
        <x:v>短期</x:v>
      </x:c>
      <x:c r="P453" s="36" t="str">
        <x:v>["libreoffice_calc"]</x:v>
      </x:c>
      <x:c r="Q453" s="36" t="str">
        <x:v>[{"step_id":"S1","app":"libreoffice_calc","action_key":"fill_branch_officers_from_lookup","input_artifacts":["VLOOKUP_Fill_the_form.xlsx"],"output_artifacts":["VLOOKUP_Fill_the_form.xlsx"],"depends_on":[]}]</x:v>
      </x:c>
      <x:c r="R453" s="36" t="str">
        <x:v>[]</x:v>
      </x:c>
      <x:c r="S453" s="36" t="str">
        <x:v>fill_branch_officers_from_lookup</x:v>
      </x:c>
      <x:c r="T453" s="36" t="str">
        <x:v>VLOOKUP_Fill_the_form.xlsx</x:v>
      </x:c>
      <x:c r="U453" s="36" t="str">
        <x:v>retrieve_and_execute</x:v>
      </x:c>
      <x:c r="V453" s="36" t="str">
        <x:v>[{"point_id":"P1","description":"在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x:v>
      </x:c>
      <x:c r="W453" s="36" t="str">
        <x:v>1.00</x:v>
      </x:c>
      <x:c r="X453" s="39" t="str">
        <x:v>这次只做下面这个结果，别套用相似任务的做法：在 VLOOKUP_Fill_the_form.xlsx 中根据分支机构对照表，以 headoffice/branch name 为键查找对应 officer，并填入另一张表的 officer name 字段。</x:v>
      </x:c>
      <x:c r="Y453"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453" s="39" t="str">
        <x:v>不适用：当前题目不存在需要用户进一步选择的候选记忆。</x:v>
      </x:c>
      <x:c r="AA453" s="39" t="str">
        <x:v>第1条记忆（短期/工作流程）：处理 Student_Level_Fill_Blank.xlsx 时，将 B1:E30 内的空白单元格填成其上方单元格的值，并保持其他区域不变。关键约束：仅处理 B1:E30；不修改其他区域，即使其他区域也为空白。</x:v>
      </x:c>
      <x:c r="AB453" s="39" t="str">
        <x:v>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C453"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x:v>
      </x:c>
      <x:c r="AD453" s="39" t="str">
        <x:v>用户的完整请求是：“这次只做下面这个结果，别套用相似任务的做法：在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E453" s="39" t="str">
        <x:v>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53" s="50" t="str">
        <x:v>not_pass</x:v>
      </x:c>
      <x:c r="AG453" s="50" t="n">
        <x:v>0</x:v>
      </x:c>
    </x:row>
    <x:row r="454" ht="189" customHeight="1">
      <x:c r="A454" s="35" t="str">
        <x:v>V3_CF15_Q03</x:v>
      </x:c>
      <x:c r="B454" s="36" t="str">
        <x:v>SG_CONFLICT_CF15</x:v>
      </x:c>
      <x:c r="C454" s="36" t="str">
        <x:v>CF15</x:v>
      </x:c>
      <x:c r="D454" s="36" t="str">
        <x:v>人员查找与空白填充硬负例</x:v>
      </x:c>
      <x:c r="E454" s="36" t="str">
        <x:v>conflict_resolution</x:v>
      </x:c>
      <x:c r="F454" s="36" t="str">
        <x:v>contextual_ellipsis</x:v>
      </x:c>
      <x:c r="G454" s="36" t="str">
        <x:v>challenge</x:v>
      </x:c>
      <x:c r="H454" s="36" t="str">
        <x:v>困难</x:v>
      </x:c>
      <x:c r="I454" s="36" t="str">
        <x:v>7e429b8d-a3f0-4ed0-9b58-08957d00b127|01b269ae-2111-4a07-81fd-3fcd711993b0</x:v>
      </x:c>
      <x:c r="J454" s="36" t="str">
        <x:v>CTX_7e429b8d-a3f0-4ed0-9b58-08957d00b127</x:v>
      </x:c>
      <x:c r="K454" s="36" t="str">
        <x:v>STM_7e429b8d-a3f0-4ed0-9b58-08957d00b127</x:v>
      </x:c>
      <x:c r="L454" s="36" t="str"/>
      <x:c r="M454" s="36" t="str">
        <x:v>STM_01b269ae-2111-4a07-81fd-3fcd711993b0</x:v>
      </x:c>
      <x:c r="N454" s="36" t="str">
        <x:v>知识</x:v>
      </x:c>
      <x:c r="O454" s="36" t="str">
        <x:v>短期</x:v>
      </x:c>
      <x:c r="P454" s="36" t="str">
        <x:v>["libreoffice_calc"]</x:v>
      </x:c>
      <x:c r="Q454" s="36" t="str">
        <x:v>[{"step_id":"S1","app":"libreoffice_calc","action_key":"fill_branch_officers_from_lookup","input_artifacts":["VLOOKUP_Fill_the_form.xlsx"],"output_artifacts":["VLOOKUP_Fill_the_form.xlsx"],"depends_on":[]}]</x:v>
      </x:c>
      <x:c r="R454" s="36" t="str">
        <x:v>[]</x:v>
      </x:c>
      <x:c r="S454" s="36" t="str">
        <x:v>fill_branch_officers_from_lookup</x:v>
      </x:c>
      <x:c r="T454" s="36" t="str">
        <x:v>VLOOKUP_Fill_the_form.xlsx</x:v>
      </x:c>
      <x:c r="U454" s="36" t="str">
        <x:v>retrieve_and_execute</x:v>
      </x:c>
      <x:c r="V454" s="36" t="str">
        <x:v>[{"point_id":"P1","description":"在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x:v>
      </x:c>
      <x:c r="W454" s="36" t="str">
        <x:v>1.00</x:v>
      </x:c>
      <x:c r="X454" s="39" t="str">
        <x:v>文件已经打开了，我要的是这套处理：在 VLOOKUP_Fill_the_form.xlsx 中根据分支机构对照表，以 headoffice/branch name 为键查找对应 officer，并填入另一张表的 officer name 字段。</x:v>
      </x:c>
      <x:c r="Y454"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454" s="39" t="str">
        <x:v>不适用：当前题目不存在需要用户进一步选择的候选记忆。</x:v>
      </x:c>
      <x:c r="AA454" s="39" t="str">
        <x:v>第1条记忆（短期/工作流程）：处理 Student_Level_Fill_Blank.xlsx 时，将 B1:E30 内的空白单元格填成其上方单元格的值，并保持其他区域不变。关键约束：仅处理 B1:E30；不修改其他区域，即使其他区域也为空白。</x:v>
      </x:c>
      <x:c r="AB454" s="39" t="str">
        <x:v>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C454"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x:v>
      </x:c>
      <x:c r="AD454" s="39" t="str">
        <x:v>用户的完整请求是：“文件已经打开了，我要的是这套处理：在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E454" s="39" t="str">
        <x:v>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54" s="50" t="str">
        <x:v>not_pass</x:v>
      </x:c>
      <x:c r="AG454" s="50" t="n">
        <x:v>0</x:v>
      </x:c>
    </x:row>
    <x:row r="455" ht="189" customHeight="1">
      <x:c r="A455" s="35" t="str">
        <x:v>V3_CF15_Q04</x:v>
      </x:c>
      <x:c r="B455" s="36" t="str">
        <x:v>SG_CONFLICT_CF15</x:v>
      </x:c>
      <x:c r="C455" s="36" t="str">
        <x:v>CF15</x:v>
      </x:c>
      <x:c r="D455" s="36" t="str">
        <x:v>人员查找与空白填充硬负例</x:v>
      </x:c>
      <x:c r="E455" s="36" t="str">
        <x:v>conflict_resolution</x:v>
      </x:c>
      <x:c r="F455" s="36" t="str">
        <x:v>low_overlap_paraphrase</x:v>
      </x:c>
      <x:c r="G455" s="36" t="str">
        <x:v>challenge</x:v>
      </x:c>
      <x:c r="H455" s="36" t="str">
        <x:v>困难</x:v>
      </x:c>
      <x:c r="I455" s="36" t="str">
        <x:v>7e429b8d-a3f0-4ed0-9b58-08957d00b127|01b269ae-2111-4a07-81fd-3fcd711993b0</x:v>
      </x:c>
      <x:c r="J455" s="36" t="str">
        <x:v>CTX_7e429b8d-a3f0-4ed0-9b58-08957d00b127</x:v>
      </x:c>
      <x:c r="K455" s="36" t="str">
        <x:v>STM_7e429b8d-a3f0-4ed0-9b58-08957d00b127</x:v>
      </x:c>
      <x:c r="L455" s="36" t="str"/>
      <x:c r="M455" s="36" t="str">
        <x:v>STM_01b269ae-2111-4a07-81fd-3fcd711993b0</x:v>
      </x:c>
      <x:c r="N455" s="36" t="str">
        <x:v>知识</x:v>
      </x:c>
      <x:c r="O455" s="36" t="str">
        <x:v>短期</x:v>
      </x:c>
      <x:c r="P455" s="36" t="str">
        <x:v>["libreoffice_calc"]</x:v>
      </x:c>
      <x:c r="Q455" s="36" t="str">
        <x:v>[{"step_id":"S1","app":"libreoffice_calc","action_key":"fill_branch_officers_from_lookup","input_artifacts":["VLOOKUP_Fill_the_form.xlsx"],"output_artifacts":["VLOOKUP_Fill_the_form.xlsx"],"depends_on":[]}]</x:v>
      </x:c>
      <x:c r="R455" s="36" t="str">
        <x:v>[]</x:v>
      </x:c>
      <x:c r="S455" s="36" t="str">
        <x:v>fill_branch_officers_from_lookup</x:v>
      </x:c>
      <x:c r="T455" s="36" t="str">
        <x:v>VLOOKUP_Fill_the_form.xlsx</x:v>
      </x:c>
      <x:c r="U455" s="36" t="str">
        <x:v>retrieve_and_execute</x:v>
      </x:c>
      <x:c r="V455" s="36" t="str">
        <x:v>[{"point_id":"P1","description":"在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x:v>
      </x:c>
      <x:c r="W455" s="36" t="str">
        <x:v>1.00</x:v>
      </x:c>
      <x:c r="X455" s="39" t="str">
        <x:v>前面的相似方案先不要用，当前目标是：在 VLOOKUP_Fill_the_form.xlsx 中根据分支机构对照表，以 headoffice/branch name 为键查找对应 officer，并填入另一张表的 officer name 字段。</x:v>
      </x:c>
      <x:c r="Y455"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455" s="39" t="str">
        <x:v>不适用：当前题目不存在需要用户进一步选择的候选记忆。</x:v>
      </x:c>
      <x:c r="AA455" s="39" t="str">
        <x:v>第1条记忆（短期/工作流程）：处理 Student_Level_Fill_Blank.xlsx 时，将 B1:E30 内的空白单元格填成其上方单元格的值，并保持其他区域不变。关键约束：仅处理 B1:E30；不修改其他区域，即使其他区域也为空白。</x:v>
      </x:c>
      <x:c r="AB455" s="39" t="str">
        <x:v>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C455"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x:v>
      </x:c>
      <x:c r="AD455" s="39" t="str">
        <x:v>用户的完整请求是：“前面的相似方案先不要用，当前目标是：在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E455" s="39" t="str">
        <x:v>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55" s="50" t="str">
        <x:v>not_pass</x:v>
      </x:c>
      <x:c r="AG455" s="50" t="n">
        <x:v>0</x:v>
      </x:c>
    </x:row>
    <x:row r="456" ht="189" customHeight="1">
      <x:c r="A456" s="35" t="str">
        <x:v>V3_CF15_Q05</x:v>
      </x:c>
      <x:c r="B456" s="36" t="str">
        <x:v>SG_CONFLICT_CF15</x:v>
      </x:c>
      <x:c r="C456" s="36" t="str">
        <x:v>CF15</x:v>
      </x:c>
      <x:c r="D456" s="36" t="str">
        <x:v>人员查找与空白填充硬负例</x:v>
      </x:c>
      <x:c r="E456" s="36" t="str">
        <x:v>conflict_resolution</x:v>
      </x:c>
      <x:c r="F456" s="36" t="str">
        <x:v>human_constraint_emphasis</x:v>
      </x:c>
      <x:c r="G456" s="36" t="str">
        <x:v>challenge</x:v>
      </x:c>
      <x:c r="H456" s="36" t="str">
        <x:v>困难</x:v>
      </x:c>
      <x:c r="I456" s="36" t="str">
        <x:v>7e429b8d-a3f0-4ed0-9b58-08957d00b127|01b269ae-2111-4a07-81fd-3fcd711993b0</x:v>
      </x:c>
      <x:c r="J456" s="36" t="str">
        <x:v>CTX_7e429b8d-a3f0-4ed0-9b58-08957d00b127</x:v>
      </x:c>
      <x:c r="K456" s="36" t="str">
        <x:v>STM_7e429b8d-a3f0-4ed0-9b58-08957d00b127</x:v>
      </x:c>
      <x:c r="L456" s="36" t="str"/>
      <x:c r="M456" s="36" t="str">
        <x:v>STM_01b269ae-2111-4a07-81fd-3fcd711993b0</x:v>
      </x:c>
      <x:c r="N456" s="36" t="str">
        <x:v>知识</x:v>
      </x:c>
      <x:c r="O456" s="36" t="str">
        <x:v>短期</x:v>
      </x:c>
      <x:c r="P456" s="36" t="str">
        <x:v>["libreoffice_calc"]</x:v>
      </x:c>
      <x:c r="Q456" s="36" t="str">
        <x:v>[{"step_id":"S1","app":"libreoffice_calc","action_key":"fill_branch_officers_from_lookup","input_artifacts":["VLOOKUP_Fill_the_form.xlsx"],"output_artifacts":["VLOOKUP_Fill_the_form.xlsx"],"depends_on":[]}]</x:v>
      </x:c>
      <x:c r="R456" s="36" t="str">
        <x:v>[]</x:v>
      </x:c>
      <x:c r="S456" s="36" t="str">
        <x:v>fill_branch_officers_from_lookup</x:v>
      </x:c>
      <x:c r="T456" s="36" t="str">
        <x:v>VLOOKUP_Fill_the_form.xlsx</x:v>
      </x:c>
      <x:c r="U456" s="36" t="str">
        <x:v>retrieve_and_execute</x:v>
      </x:c>
      <x:c r="V456" s="36" t="str">
        <x:v>[{"point_id":"P1","description":"在 VLOOKUP_Fill_the_form.xlsx 中根据分支机构对照表，以 headoffice/branch name 为键查找对应 officer，并填入另一张表的 officer name 字段。","weight":0.8,"evidence_memory_ids":["STM_7e429b8d-a3f0-4ed0-9b58-08957d00b127"]},{"point_id":"P2","description":"不采用禁止记忆中的冲突操作，且不让错误方案替代必需结论","weight":0.2,"evidence_memory_ids":["STM_7e429b8d-a3f0-4ed0-9b58-08957d00b127","STM_01b269ae-2111-4a07-81fd-3fcd711993b0"]}]</x:v>
      </x:c>
      <x:c r="W456" s="36" t="str">
        <x:v>1.00</x:v>
      </x:c>
      <x:c r="X456" s="39" t="str">
        <x:v>为了避免选错历史记录，我把要求再说一遍：在 VLOOKUP_Fill_the_form.xlsx 中根据分支机构对照表，以 headoffice/branch name 为键查找对应 officer，并填入另一张表的 officer name 字段。</x:v>
      </x:c>
      <x:c r="Y456"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x:v>
      </x:c>
      <x:c r="Z456" s="39" t="str">
        <x:v>不适用：当前题目不存在需要用户进一步选择的候选记忆。</x:v>
      </x:c>
      <x:c r="AA456" s="39" t="str">
        <x:v>第1条记忆（短期/工作流程）：处理 Student_Level_Fill_Blank.xlsx 时，将 B1:E30 内的空白单元格填成其上方单元格的值，并保持其他区域不变。关键约束：仅处理 B1:E30；不修改其他区域，即使其他区域也为空白。</x:v>
      </x:c>
      <x:c r="AB456" s="39" t="str">
        <x:v>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C456" s="39" t="str">
        <x:v>第1项实际操作：在 VLOOKUP_Fill_the_form.xlsx 中根据分支机构对照表，以 headoffice/branch name 为键查找对应 officer，并填入另一张表的 officer name 字段。执行时必须满足：以分支机构名称匹配；使用已有对照表；不得凭空生成 officer 名称。 第1项禁止操作：处理 Student_Level_Fill_Blank.xlsx 时，将 B1:E30 内的空白单元格填成其上方单元格的值，并保持其他区域不变。该操作不得替代或混入当前执行结果。</x:v>
      </x:c>
      <x:c r="AD456" s="39" t="str">
        <x:v>用户的完整请求是：“为了避免选错历史记录，我把要求再说一遍：在 VLOOKUP_Fill_the_form.xlsx 中根据分支机构对照表，以 headoffice/branch name 为键查找对应 officer，并填入另一张表的 officer name 字段。” 第1个当前上下文：VLOOKUP_Fill_the_form.xlsx 已在 LibreOffice Calc 中打开。 与当前请求一致、应当调用的完整记忆如下：
第1条记忆（短期/知识）：在 VLOOKUP_Fill_the_form.xlsx 中根据分支机构对照表，以 headoffice/branch name 为键查找对应 officer，并填入另一张表的 officer name 字段。关键约束：以分支机构名称匹配；使用已有对照表；不得凭空生成 officer 名称。
这些记忆描述的目标文件、操作对象、处理方式和输出结果与 Query 中明确表达的当前要求一致。与此同时，记忆库中还存在以下容易造成误检的完整禁止记忆：
第1条记忆（短期/工作流程）：处理 Student_Level_Fill_Blank.xlsx 时，将 B1:E30 内的空白单元格填成其上方单元格的值，并保持其他区域不变。关键约束：仅处理 B1:E30；不修改其他区域，即使其他区域也为空白。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与当前上下文选择必需记忆，再明确排除禁止记忆，不能仅凭关键词相似度混合两套规则。最终应给出的完整结论是：“应采用以下方案：在 VLOOKUP_Fill_the_form.xlsx 中根据分支机构对照表，以 headoffice/branch name 为键查找对应 officer，并填入另一张表的 officer name 字段。同时明确不得采用以下相似但不符合当前要求的方案：处理 Student_Level_Fill_Blank.xlsx 时，将 B1:E30 内的空白单元格填成其上方单元格的值，并保持其他区域不变。”</x:v>
      </x:c>
      <x:c r="AE456" s="39" t="str">
        <x:v>本题总分为 1.00 分，各得分点独立累计，允许语义等价表达，不要求模型输出记忆 ID，也不要求逐字复述记忆原文。
第1个得分点（0.80分）：在 VLOOKUP_Fill_the_form.xlsx 中根据分支机构对照表，以 headoffice/branch name 为键查找对应 officer，并填入另一张表的 officer name 字段。该得分点所依据的完整证据为：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第2个得分点（0.20分）：不采用禁止记忆中的冲突操作，且不让错误方案替代必需结论。该得分点所依据的完整证据为：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人工复审时，应依据模型最终给出的信息和实际操作是否满足上述每个得分点分别给分；只命中记忆 ID 但没有形成对应结论不能获得该结论分，形成了正确结论但表达方式不同则不应扣分。</x:v>
      </x:c>
      <x:c r="AF456" s="50" t="str">
        <x:v>not_pass</x:v>
      </x:c>
      <x:c r="AG456" s="50" t="n">
        <x:v>0</x:v>
      </x:c>
    </x:row>
    <x:row r="457" ht="202.5" customHeight="1">
      <x:c r="A457" s="35" t="str">
        <x:v>MULTI_MM06_HQ1</x:v>
      </x:c>
      <x:c r="B457" s="36" t="str">
        <x:v>SG_CONFLICT_MM06</x:v>
      </x:c>
      <x:c r="C457" s="36" t="str">
        <x:v>MM06</x:v>
      </x:c>
      <x:c r="D457" s="36" t="str">
        <x:v>v2_MM06</x:v>
      </x:c>
      <x:c r="E457" s="36" t="str">
        <x:v>conflict_resolution</x:v>
      </x:c>
      <x:c r="F457" s="36" t="str">
        <x:v>human_context_explicit</x:v>
      </x:c>
      <x:c r="G457" s="36" t="str">
        <x:v>challenge</x:v>
      </x:c>
      <x:c r="H457" s="36" t="str">
        <x:v>困难</x:v>
      </x:c>
      <x:c r="I457" s="36" t="str">
        <x:v>0326d92d-d218-48a8-9ca1-981cd6d064c7|26a8440e-c166-4c50-aef4-bfb77314b46b</x:v>
      </x:c>
      <x:c r="J457" s="36" t="str">
        <x:v>CTX_0326d92d-d218-48a8-9ca1-981cd6d064c7|CTX_26a8440e-c166-4c50-aef4-bfb77314b46b</x:v>
      </x:c>
      <x:c r="K457" s="36" t="str">
        <x:v>MTM_0326d92d-d218-48a8-9ca1-981cd6d064c7|MTM_26a8440e-c166-4c50-aef4-bfb77314b46b</x:v>
      </x:c>
      <x:c r="L457" s="36" t="str"/>
      <x:c r="M457" s="36" t="str">
        <x:v>MTM_0a2e43bf-b26c-4631-a966-af9dfa12c9e5</x:v>
      </x:c>
      <x:c r="N457" s="36" t="str">
        <x:v>可复用模板</x:v>
      </x:c>
      <x:c r="O457" s="36" t="str">
        <x:v>中期</x:v>
      </x:c>
      <x:c r="P457" s="36" t="str">
        <x:v>["libreoffice_calc"]</x:v>
      </x:c>
      <x:c r="Q457" s="36" t="str">
        <x:v>[{"step_id":"S1","app":"libreoffice_calc","action_key":"build_total_and_growth_charts","input_artifacts":["SalesRep.xlsx"],"output_artifacts":["SalesRep.xlsx"],"depends_on":[]},{"step_id":"S2","app":"libreoffice_calc","action_key":"create_month_total_table","input_artifacts":["SalesRep.xlsx"],"output_artifacts":["SalesRep.xlsx"],"depends_on":[]}]</x:v>
      </x:c>
      <x:c r="R457" s="36" t="str">
        <x:v>[]</x:v>
      </x:c>
      <x:c r="S457" s="36" t="str">
        <x:v>build_total_and_growth_charts|create_month_total_table</x:v>
      </x:c>
      <x:c r="T457" s="36" t="str">
        <x:v>SalesRep.xlsx</x:v>
      </x:c>
      <x:c r="U457" s="36" t="str">
        <x:v>retrieve_and_synthesize</x:v>
      </x:c>
      <x:c r="V457" s="36" t="str">
        <x:v>[{"point_id":"P1","description":"在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x:v>
      </x:c>
      <x:c r="W457" s="36" t="str">
        <x:v>1.00</x:v>
      </x:c>
      <x:c r="X457" s="39" t="str">
        <x:v>SalesRep 这次要两个交付：原表按 Total+Growth 那套做双图，Sheet2 再列 Month/Total 月度总额表。别用只有一张总额折线的旧版。</x:v>
      </x:c>
      <x:c r="Y457"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Z457" s="39" t="str">
        <x:v>不适用：当前题目不存在需要用户进一步选择的候选记忆。</x:v>
      </x:c>
      <x:c r="AA457" s="39" t="str">
        <x:v>第1条记忆（中期/可复用模板）：在 SalesRep.xlsx 新增 Total 行计算每个月的总销售额，并以月份为横轴创建一张展示月度总额的折线图。关键约束：只制作月度总额折线图；横轴使用月份；不添加环比增长图。</x:v>
      </x:c>
      <x:c r="AB457" s="39" t="str">
        <x:v>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C457"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x:v>
      </x:c>
      <x:c r="AD457" s="39" t="str">
        <x:v>用户的完整请求是：“SalesRep 这次要两个交付：原表按 Total+Growth 那套做双图，Sheet2 再列 Month/Total 月度总额表。别用只有一张总额折线的旧版。”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E457" s="39" t="str">
        <x:v>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457" s="50" t="str">
        <x:v>not_pass</x:v>
      </x:c>
      <x:c r="AG457" s="50" t="n">
        <x:v>0</x:v>
      </x:c>
    </x:row>
    <x:row r="458" ht="202.5" customHeight="1">
      <x:c r="A458" s="35" t="str">
        <x:v>MULTI_MM06_HQ2</x:v>
      </x:c>
      <x:c r="B458" s="36" t="str">
        <x:v>SG_CONFLICT_MM06</x:v>
      </x:c>
      <x:c r="C458" s="36" t="str">
        <x:v>MM06</x:v>
      </x:c>
      <x:c r="D458" s="36" t="str">
        <x:v>v2_MM06</x:v>
      </x:c>
      <x:c r="E458" s="36" t="str">
        <x:v>conflict_resolution</x:v>
      </x:c>
      <x:c r="F458" s="36" t="str">
        <x:v>human_goal_oriented</x:v>
      </x:c>
      <x:c r="G458" s="36" t="str">
        <x:v>challenge</x:v>
      </x:c>
      <x:c r="H458" s="36" t="str">
        <x:v>困难</x:v>
      </x:c>
      <x:c r="I458" s="36" t="str">
        <x:v>0326d92d-d218-48a8-9ca1-981cd6d064c7|26a8440e-c166-4c50-aef4-bfb77314b46b</x:v>
      </x:c>
      <x:c r="J458" s="36" t="str">
        <x:v>CTX_0326d92d-d218-48a8-9ca1-981cd6d064c7|CTX_26a8440e-c166-4c50-aef4-bfb77314b46b</x:v>
      </x:c>
      <x:c r="K458" s="36" t="str">
        <x:v>MTM_0326d92d-d218-48a8-9ca1-981cd6d064c7|MTM_26a8440e-c166-4c50-aef4-bfb77314b46b</x:v>
      </x:c>
      <x:c r="L458" s="36" t="str"/>
      <x:c r="M458" s="36" t="str">
        <x:v>MTM_0a2e43bf-b26c-4631-a966-af9dfa12c9e5</x:v>
      </x:c>
      <x:c r="N458" s="36" t="str">
        <x:v>可复用模板</x:v>
      </x:c>
      <x:c r="O458" s="36" t="str">
        <x:v>中期</x:v>
      </x:c>
      <x:c r="P458" s="36" t="str">
        <x:v>["libreoffice_calc"]</x:v>
      </x:c>
      <x:c r="Q458" s="36" t="str">
        <x:v>[{"step_id":"S1","app":"libreoffice_calc","action_key":"build_total_and_growth_charts","input_artifacts":["SalesRep.xlsx"],"output_artifacts":["SalesRep.xlsx"],"depends_on":[]},{"step_id":"S2","app":"libreoffice_calc","action_key":"create_month_total_table","input_artifacts":["SalesRep.xlsx"],"output_artifacts":["SalesRep.xlsx"],"depends_on":[]}]</x:v>
      </x:c>
      <x:c r="R458" s="36" t="str">
        <x:v>[]</x:v>
      </x:c>
      <x:c r="S458" s="36" t="str">
        <x:v>build_total_and_growth_charts|create_month_total_table</x:v>
      </x:c>
      <x:c r="T458" s="36" t="str">
        <x:v>SalesRep.xlsx</x:v>
      </x:c>
      <x:c r="U458" s="36" t="str">
        <x:v>retrieve_and_synthesize</x:v>
      </x:c>
      <x:c r="V458" s="36" t="str">
        <x:v>[{"point_id":"P1","description":"在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x:v>
      </x:c>
      <x:c r="W458" s="36" t="str">
        <x:v>1.00</x:v>
      </x:c>
      <x:c r="X458" s="39" t="str">
        <x:v>领导既要看总额和环比图，也要一张能复制到报告里的月度总额明细。按我们之前两套正确做法合起来处理 SalesRep。</x:v>
      </x:c>
      <x:c r="Y458"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Z458" s="39" t="str">
        <x:v>不适用：当前题目不存在需要用户进一步选择的候选记忆。</x:v>
      </x:c>
      <x:c r="AA458" s="39" t="str">
        <x:v>第1条记忆（中期/可复用模板）：在 SalesRep.xlsx 新增 Total 行计算每个月的总销售额，并以月份为横轴创建一张展示月度总额的折线图。关键约束：只制作月度总额折线图；横轴使用月份；不添加环比增长图。</x:v>
      </x:c>
      <x:c r="AB458" s="39" t="str">
        <x:v>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C458"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x:v>
      </x:c>
      <x:c r="AD458" s="39" t="str">
        <x:v>用户的完整请求是：“领导既要看总额和环比图，也要一张能复制到报告里的月度总额明细。按我们之前两套正确做法合起来处理 SalesRep。”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E458" s="39" t="str">
        <x:v>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458" s="50" t="str">
        <x:v>not_pass</x:v>
      </x:c>
      <x:c r="AG458" s="50" t="n">
        <x:v>0</x:v>
      </x:c>
    </x:row>
    <x:row r="459" ht="202.5" customHeight="1">
      <x:c r="A459" s="35" t="str">
        <x:v>MULTI_MM06_HQ3</x:v>
      </x:c>
      <x:c r="B459" s="36" t="str">
        <x:v>SG_CONFLICT_MM06</x:v>
      </x:c>
      <x:c r="C459" s="36" t="str">
        <x:v>MM06</x:v>
      </x:c>
      <x:c r="D459" s="36" t="str">
        <x:v>v2_MM06</x:v>
      </x:c>
      <x:c r="E459" s="36" t="str">
        <x:v>conflict_resolution</x:v>
      </x:c>
      <x:c r="F459" s="36" t="str">
        <x:v>contextual_ellipsis</x:v>
      </x:c>
      <x:c r="G459" s="36" t="str">
        <x:v>challenge</x:v>
      </x:c>
      <x:c r="H459" s="36" t="str">
        <x:v>困难</x:v>
      </x:c>
      <x:c r="I459" s="36" t="str">
        <x:v>0326d92d-d218-48a8-9ca1-981cd6d064c7|26a8440e-c166-4c50-aef4-bfb77314b46b</x:v>
      </x:c>
      <x:c r="J459" s="36" t="str">
        <x:v>CTX_0326d92d-d218-48a8-9ca1-981cd6d064c7|CTX_26a8440e-c166-4c50-aef4-bfb77314b46b</x:v>
      </x:c>
      <x:c r="K459" s="36" t="str">
        <x:v>MTM_0326d92d-d218-48a8-9ca1-981cd6d064c7|MTM_26a8440e-c166-4c50-aef4-bfb77314b46b</x:v>
      </x:c>
      <x:c r="L459" s="36" t="str"/>
      <x:c r="M459" s="36" t="str">
        <x:v>MTM_0a2e43bf-b26c-4631-a966-af9dfa12c9e5</x:v>
      </x:c>
      <x:c r="N459" s="36" t="str">
        <x:v>可复用模板</x:v>
      </x:c>
      <x:c r="O459" s="36" t="str">
        <x:v>中期</x:v>
      </x:c>
      <x:c r="P459" s="36" t="str">
        <x:v>["libreoffice_calc"]</x:v>
      </x:c>
      <x:c r="Q459" s="36" t="str">
        <x:v>[{"step_id":"S1","app":"libreoffice_calc","action_key":"build_total_and_growth_charts","input_artifacts":["SalesRep.xlsx"],"output_artifacts":["SalesRep.xlsx"],"depends_on":[]},{"step_id":"S2","app":"libreoffice_calc","action_key":"create_month_total_table","input_artifacts":["SalesRep.xlsx"],"output_artifacts":["SalesRep.xlsx"],"depends_on":[]}]</x:v>
      </x:c>
      <x:c r="R459" s="36" t="str">
        <x:v>[]</x:v>
      </x:c>
      <x:c r="S459" s="36" t="str">
        <x:v>build_total_and_growth_charts|create_month_total_table</x:v>
      </x:c>
      <x:c r="T459" s="36" t="str">
        <x:v>SalesRep.xlsx</x:v>
      </x:c>
      <x:c r="U459" s="36" t="str">
        <x:v>retrieve_and_synthesize</x:v>
      </x:c>
      <x:c r="V459" s="36" t="str">
        <x:v>[{"point_id":"P1","description":"在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x:v>
      </x:c>
      <x:c r="W459" s="36" t="str">
        <x:v>1.00</x:v>
      </x:c>
      <x:c r="X459" s="39" t="str">
        <x:v>这份销售代表表已经打开了。下方还是 Total 柱形加 Growth 折线，第二张表再放月份和总额两列；单独那张月总额折线不用做。</x:v>
      </x:c>
      <x:c r="Y459"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Z459" s="39" t="str">
        <x:v>不适用：当前题目不存在需要用户进一步选择的候选记忆。</x:v>
      </x:c>
      <x:c r="AA459" s="39" t="str">
        <x:v>第1条记忆（中期/可复用模板）：在 SalesRep.xlsx 新增 Total 行计算每个月的总销售额，并以月份为横轴创建一张展示月度总额的折线图。关键约束：只制作月度总额折线图；横轴使用月份；不添加环比增长图。</x:v>
      </x:c>
      <x:c r="AB459" s="39" t="str">
        <x:v>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C459"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x:v>
      </x:c>
      <x:c r="AD459" s="39" t="str">
        <x:v>用户的完整请求是：“这份销售代表表已经打开了。下方还是 Total 柱形加 Growth 折线，第二张表再放月份和总额两列；单独那张月总额折线不用做。”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E459" s="39" t="str">
        <x:v>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459" s="50" t="str">
        <x:v>not_pass</x:v>
      </x:c>
      <x:c r="AG459" s="50" t="n">
        <x:v>0</x:v>
      </x:c>
    </x:row>
    <x:row r="460" ht="202.5" customHeight="1">
      <x:c r="A460" s="35" t="str">
        <x:v>MULTI_MM06_HQ4</x:v>
      </x:c>
      <x:c r="B460" s="36" t="str">
        <x:v>SG_CONFLICT_MM06</x:v>
      </x:c>
      <x:c r="C460" s="36" t="str">
        <x:v>MM06</x:v>
      </x:c>
      <x:c r="D460" s="36" t="str">
        <x:v>v2_MM06</x:v>
      </x:c>
      <x:c r="E460" s="36" t="str">
        <x:v>conflict_resolution</x:v>
      </x:c>
      <x:c r="F460" s="36" t="str">
        <x:v>low_overlap_paraphrase</x:v>
      </x:c>
      <x:c r="G460" s="36" t="str">
        <x:v>challenge</x:v>
      </x:c>
      <x:c r="H460" s="36" t="str">
        <x:v>困难</x:v>
      </x:c>
      <x:c r="I460" s="36" t="str">
        <x:v>0326d92d-d218-48a8-9ca1-981cd6d064c7|26a8440e-c166-4c50-aef4-bfb77314b46b</x:v>
      </x:c>
      <x:c r="J460" s="36" t="str">
        <x:v>CTX_0326d92d-d218-48a8-9ca1-981cd6d064c7|CTX_26a8440e-c166-4c50-aef4-bfb77314b46b</x:v>
      </x:c>
      <x:c r="K460" s="36" t="str">
        <x:v>MTM_0326d92d-d218-48a8-9ca1-981cd6d064c7|MTM_26a8440e-c166-4c50-aef4-bfb77314b46b</x:v>
      </x:c>
      <x:c r="L460" s="36" t="str"/>
      <x:c r="M460" s="36" t="str">
        <x:v>MTM_0a2e43bf-b26c-4631-a966-af9dfa12c9e5</x:v>
      </x:c>
      <x:c r="N460" s="36" t="str">
        <x:v>可复用模板</x:v>
      </x:c>
      <x:c r="O460" s="36" t="str">
        <x:v>中期</x:v>
      </x:c>
      <x:c r="P460" s="36" t="str">
        <x:v>["libreoffice_calc"]</x:v>
      </x:c>
      <x:c r="Q460" s="36" t="str">
        <x:v>[{"step_id":"S1","app":"libreoffice_calc","action_key":"build_total_and_growth_charts","input_artifacts":["SalesRep.xlsx"],"output_artifacts":["SalesRep.xlsx"],"depends_on":[]},{"step_id":"S2","app":"libreoffice_calc","action_key":"create_month_total_table","input_artifacts":["SalesRep.xlsx"],"output_artifacts":["SalesRep.xlsx"],"depends_on":[]}]</x:v>
      </x:c>
      <x:c r="R460" s="36" t="str">
        <x:v>[]</x:v>
      </x:c>
      <x:c r="S460" s="36" t="str">
        <x:v>build_total_and_growth_charts|create_month_total_table</x:v>
      </x:c>
      <x:c r="T460" s="36" t="str">
        <x:v>SalesRep.xlsx</x:v>
      </x:c>
      <x:c r="U460" s="36" t="str">
        <x:v>retrieve_and_synthesize</x:v>
      </x:c>
      <x:c r="V460" s="36" t="str">
        <x:v>[{"point_id":"P1","description":"在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x:v>
      </x:c>
      <x:c r="W460" s="36" t="str">
        <x:v>1.00</x:v>
      </x:c>
      <x:c r="X460" s="39" t="str">
        <x:v>我需要一份既能看规模与增速、又能直接拿到月度汇总数字的交付，图和明细分开放，沿用之前的名称。</x:v>
      </x:c>
      <x:c r="Y460"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Z460" s="39" t="str">
        <x:v>不适用：当前题目不存在需要用户进一步选择的候选记忆。</x:v>
      </x:c>
      <x:c r="AA460" s="39" t="str">
        <x:v>第1条记忆（中期/可复用模板）：在 SalesRep.xlsx 新增 Total 行计算每个月的总销售额，并以月份为横轴创建一张展示月度总额的折线图。关键约束：只制作月度总额折线图；横轴使用月份；不添加环比增长图。</x:v>
      </x:c>
      <x:c r="AB460" s="39" t="str">
        <x:v>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C460"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x:v>
      </x:c>
      <x:c r="AD460" s="39" t="str">
        <x:v>用户的完整请求是：“我需要一份既能看规模与增速、又能直接拿到月度汇总数字的交付，图和明细分开放，沿用之前的名称。”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E460" s="39" t="str">
        <x:v>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460" s="50" t="str">
        <x:v>not_pass</x:v>
      </x:c>
      <x:c r="AG460" s="50" t="n">
        <x:v>0</x:v>
      </x:c>
    </x:row>
    <x:row r="461" ht="202.5" customHeight="1">
      <x:c r="A461" s="35" t="str">
        <x:v>MULTI_MM06_HQ5</x:v>
      </x:c>
      <x:c r="B461" s="36" t="str">
        <x:v>SG_CONFLICT_MM06</x:v>
      </x:c>
      <x:c r="C461" s="36" t="str">
        <x:v>MM06</x:v>
      </x:c>
      <x:c r="D461" s="36" t="str">
        <x:v>v2_MM06</x:v>
      </x:c>
      <x:c r="E461" s="36" t="str">
        <x:v>conflict_resolution</x:v>
      </x:c>
      <x:c r="F461" s="36" t="str">
        <x:v>human_constraint_emphasis</x:v>
      </x:c>
      <x:c r="G461" s="36" t="str">
        <x:v>challenge</x:v>
      </x:c>
      <x:c r="H461" s="36" t="str">
        <x:v>困难</x:v>
      </x:c>
      <x:c r="I461" s="36" t="str">
        <x:v>0326d92d-d218-48a8-9ca1-981cd6d064c7|26a8440e-c166-4c50-aef4-bfb77314b46b</x:v>
      </x:c>
      <x:c r="J461" s="36" t="str">
        <x:v>CTX_0326d92d-d218-48a8-9ca1-981cd6d064c7|CTX_26a8440e-c166-4c50-aef4-bfb77314b46b</x:v>
      </x:c>
      <x:c r="K461" s="36" t="str">
        <x:v>MTM_0326d92d-d218-48a8-9ca1-981cd6d064c7|MTM_26a8440e-c166-4c50-aef4-bfb77314b46b</x:v>
      </x:c>
      <x:c r="L461" s="36" t="str"/>
      <x:c r="M461" s="36" t="str">
        <x:v>MTM_0a2e43bf-b26c-4631-a966-af9dfa12c9e5</x:v>
      </x:c>
      <x:c r="N461" s="36" t="str">
        <x:v>可复用模板</x:v>
      </x:c>
      <x:c r="O461" s="36" t="str">
        <x:v>中期</x:v>
      </x:c>
      <x:c r="P461" s="36" t="str">
        <x:v>["libreoffice_calc"]</x:v>
      </x:c>
      <x:c r="Q461" s="36" t="str">
        <x:v>[{"step_id":"S1","app":"libreoffice_calc","action_key":"build_total_and_growth_charts","input_artifacts":["SalesRep.xlsx"],"output_artifacts":["SalesRep.xlsx"],"depends_on":[]},{"step_id":"S2","app":"libreoffice_calc","action_key":"create_month_total_table","input_artifacts":["SalesRep.xlsx"],"output_artifacts":["SalesRep.xlsx"],"depends_on":[]}]</x:v>
      </x:c>
      <x:c r="R461" s="36" t="str">
        <x:v>[]</x:v>
      </x:c>
      <x:c r="S461" s="36" t="str">
        <x:v>build_total_and_growth_charts|create_month_total_table</x:v>
      </x:c>
      <x:c r="T461" s="36" t="str">
        <x:v>SalesRep.xlsx</x:v>
      </x:c>
      <x:c r="U461" s="36" t="str">
        <x:v>retrieve_and_synthesize</x:v>
      </x:c>
      <x:c r="V461" s="36" t="str">
        <x:v>[{"point_id":"P1","description":"在 SalesRep.xlsx 下方新增 Total 行计算各月销售总额并制作柱状图，再新增 Growth 行计算 2 月至 6 月环比增长率并制作折线图；增长图不包含 1 月，两个图标题分别使用对应行名。","weight":0.4,"evidence_memory_ids":["MTM_0326d92d-d218-48a8-9ca1-981cd6d064c7"]},{"point_id":"P2","description":"在 SalesRep.xlsx 新建 Sheet2，建立 Month 和 Total 两列表头，并列出所有月份及对应总销售额。","weight":0.4,"evidence_memory_ids":["MTM_26a8440e-c166-4c50-aef4-bfb77314b46b"]},{"point_id":"P3","description":"不采用禁止记忆中的冲突操作，且不让错误方案替代必需结论","weight":0.2,"evidence_memory_ids":["MTM_0326d92d-d218-48a8-9ca1-981cd6d064c7","MTM_26a8440e-c166-4c50-aef4-bfb77314b46b","MTM_0a2e43bf-b26c-4631-a966-af9dfa12c9e5"]}]</x:v>
      </x:c>
      <x:c r="W461" s="36" t="str">
        <x:v>1.00</x:v>
      </x:c>
      <x:c r="X461" s="39" t="str">
        <x:v>SalesRep 的约束别混：Total 用柱状图；Growth 只算 2 到 6 月且折线不含 1 月；标题用行名；Sheet2 只放 Month/Total 表，不要改成只有总额折线图。</x:v>
      </x:c>
      <x:c r="Y461"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x:v>
      </x:c>
      <x:c r="Z461" s="39" t="str">
        <x:v>不适用：当前题目不存在需要用户进一步选择的候选记忆。</x:v>
      </x:c>
      <x:c r="AA461" s="39" t="str">
        <x:v>第1条记忆（中期/可复用模板）：在 SalesRep.xlsx 新增 Total 行计算每个月的总销售额，并以月份为横轴创建一张展示月度总额的折线图。关键约束：只制作月度总额折线图；横轴使用月份；不添加环比增长图。</x:v>
      </x:c>
      <x:c r="AB461" s="39" t="str">
        <x:v>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C461" s="39" t="str">
        <x:v>第1项实际操作：在 SalesRep.xlsx 下方新增 Total 行计算各月销售总额并制作柱状图，再新增 Growth 行计算 2 月至 6 月环比增长率并制作折线图；增长图不包含 1 月，两个图标题分别使用对应行名。执行时必须满足：增长计算从 2 月开始；1 月不得出现在增长折线图；图标题使用 Total 和 Growth。 第2项实际操作：在 SalesRep.xlsx 新建 Sheet2，建立 Month 和 Total 两列表头，并列出所有月份及对应总销售额。执行时必须满足：只创建 Month/Total 两列表；放在 Sheet2；不创建图表或增长率行。 第1项禁止操作：在 SalesRep.xlsx 新增 Total 行计算每个月的总销售额，并以月份为横轴创建一张展示月度总额的折线图。该操作不得替代或混入当前执行结果。</x:v>
      </x:c>
      <x:c r="AD461" s="39" t="str">
        <x:v>用户的完整请求是：“SalesRep 的约束别混：Total 用柱状图；Growth 只算 2 到 6 月且折线不含 1 月；标题用行名；Sheet2 只放 Month/Total 表，不要改成只有总额折线图。” 第1个当前上下文：SalesRep.xlsx 已在 LibreOffice Calc 中打开。 与当前请求一致、应当调用的完整记忆如下：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这些记忆描述的目标文件、操作对象、处理方式和输出结果与 Query 中明确表达的当前要求一致。与此同时，记忆库中还存在以下容易造成误检的完整禁止记忆：
第1条记忆（中期/可复用模板）：在 SalesRep.xlsx 新增 Total 行计算每个月的总销售额，并以月份为横轴创建一张展示月度总额的折线图。关键约束：只制作月度总额折线图；横轴使用月份；不添加环比增长图。
禁止记忆虽然可能在文件类型、字段名称、统计主题、图表形式或办公场景上与当前请求有词面相似之处，但它要求执行的实际操作或产生的输出与当前 Query 不一致。若采用禁止记忆，就会增加用户没有要求的处理、把结果写到错误位置、使用错误的汇总或格式方式，或者用另一套历史方案替代当前已经明确的方案。因此正确推理必须同时完成两步：先根据 Query 与当前上下文选择必需记忆，再明确排除禁止记忆，不能仅凭关键词相似度混合两套规则。最终应给出的完整结论是：“应采用以下方案：1）在 SalesRep.xlsx 下方新增 Total 行计算各月销售总额并制作柱状图，再新增 Growth 行计算 2 月至 6 月环比增长率并制作折线图；增长图不包含 1 月，两个图标题分别使用对应行名；2）在 SalesRep.xlsx 新建 Sheet2，建立 Month 和 Total 两列表头，并列出所有月份及对应总销售额。同时明确不得采用以下相似但不符合当前要求的方案：在 SalesRep.xlsx 新增 Total 行计算每个月的总销售额，并以月份为横轴创建一张展示月度总额的折线图。”</x:v>
      </x:c>
      <x:c r="AE461" s="39" t="str">
        <x:v>本题总分为 1.00 分，各得分点独立累计，允许语义等价表达，不要求模型输出记忆 ID，也不要求逐字复述记忆原文。
第1个得分点（0.40分）：在 SalesRep.xlsx 下方新增 Total 行计算各月销售总额并制作柱状图，再新增 Growth 行计算 2 月至 6 月环比增长率并制作折线图；增长图不包含 1 月，两个图标题分别使用对应行名。该得分点所依据的完整证据为：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第2个得分点（0.40分）：在 SalesRep.xlsx 新建 Sheet2，建立 Month 和 Total 两列表头，并列出所有月份及对应总销售额。该得分点所依据的完整证据为：
第1条记忆（中期/可复用模板）：在 SalesRep.xlsx 新建 Sheet2，建立 Month 和 Total 两列表头，并列出所有月份及对应总销售额。关键约束：只创建 Month/Total 两列表；放在 Sheet2；不创建图表或增长率行。
第3个得分点（0.20分）：不采用禁止记忆中的冲突操作，且不让错误方案替代必需结论。该得分点所依据的完整证据为：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新建 Sheet2，建立 Month 和 Total 两列表头，并列出所有月份及对应总销售额。关键约束：只创建 Month/Total 两列表；放在 Sheet2；不创建图表或增长率行。
第3条记忆（中期/可复用模板）：在 SalesRep.xlsx 新增 Total 行计算每个月的总销售额，并以月份为横轴创建一张展示月度总额的折线图。关键约束：只制作月度总额折线图；横轴使用月份；不添加环比增长图。
人工复审时，应依据模型最终给出的信息和实际操作是否满足上述每个得分点分别给分；只命中记忆 ID 但没有形成对应结论不能获得该结论分，形成了正确结论但表达方式不同则不应扣分。</x:v>
      </x:c>
      <x:c r="AF461" s="50" t="str">
        <x:v>not_pass</x:v>
      </x:c>
      <x:c r="AG461" s="50" t="n">
        <x:v>0</x:v>
      </x:c>
    </x:row>
    <x:row r="462" ht="243" customHeight="1">
      <x:c r="A462" s="35" t="str">
        <x:v>V3_AQ01_Q01</x:v>
      </x:c>
      <x:c r="B462" s="36" t="str">
        <x:v>SG_CLARIFY_AQ01</x:v>
      </x:c>
      <x:c r="C462" s="36" t="str">
        <x:v>AQ01</x:v>
      </x:c>
      <x:c r="D462" s="36" t="str">
        <x:v>SalesRep 方案不明确</x:v>
      </x:c>
      <x:c r="E462" s="36" t="str">
        <x:v>clarification_required</x:v>
      </x:c>
      <x:c r="F462" s="36" t="str">
        <x:v>human_context_explicit</x:v>
      </x:c>
      <x:c r="G462" s="36" t="str">
        <x:v>challenge</x:v>
      </x:c>
      <x:c r="H462" s="36" t="str">
        <x:v>困难</x:v>
      </x:c>
      <x:c r="I462" s="36" t="str">
        <x:v>0326d92d-d218-48a8-9ca1-981cd6d064c7|0a2e43bf-b26c-4631-a966-af9dfa12c9e5|26a8440e-c166-4c50-aef4-bfb77314b46b</x:v>
      </x:c>
      <x:c r="J462" s="36" t="str">
        <x:v>CTX_0326d92d-d218-48a8-9ca1-981cd6d064c7|CTX_0a2e43bf-b26c-4631-a966-af9dfa12c9e5|CTX_26a8440e-c166-4c50-aef4-bfb77314b46b</x:v>
      </x:c>
      <x:c r="K462" s="36" t="str"/>
      <x:c r="L462" s="36" t="str">
        <x:v>MTM_0326d92d-d218-48a8-9ca1-981cd6d064c7|MTM_0a2e43bf-b26c-4631-a966-af9dfa12c9e5|MTM_26a8440e-c166-4c50-aef4-bfb77314b46b</x:v>
      </x:c>
      <x:c r="M462" s="36" t="str"/>
      <x:c r="N462" s="36" t="str">
        <x:v>可复用模板</x:v>
      </x:c>
      <x:c r="O462" s="36" t="str">
        <x:v>中期</x:v>
      </x:c>
      <x:c r="P462" s="36" t="str">
        <x:v>["libreoffice_calc"]</x:v>
      </x:c>
      <x:c r="Q462" s="36" t="str">
        <x:v>[]</x:v>
      </x:c>
      <x:c r="R462" s="36" t="str">
        <x:v>[]</x:v>
      </x:c>
      <x:c r="S462" s="36" t="str"/>
      <x:c r="T462" s="36" t="str">
        <x:v>SalesRep.xlsx</x:v>
      </x:c>
      <x:c r="U462" s="36" t="str">
        <x:v>ask_clarification</x:v>
      </x:c>
      <x:c r="V462" s="36" t="str">
        <x:v>[{"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x:v>
      </x:c>
      <x:c r="W462" s="36" t="str">
        <x:v>1.00</x:v>
      </x:c>
      <x:c r="X462" s="39" t="str">
        <x:v>SalesRep 这份表按之前那种方式处理一下。</x:v>
      </x:c>
      <x:c r="Y462" s="39" t="str">
        <x:v>不适用：当前题目在用户完成澄清前没有唯一的必需记忆。</x:v>
      </x:c>
      <x:c r="Z462"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x:v>
      </x:c>
      <x:c r="AA462" s="39" t="str">
        <x:v>不适用：当前题目没有指定需要排除的冲突或禁止记忆。</x:v>
      </x:c>
      <x:c r="AB462"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C462"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x:v>
      </x:c>
      <x:c r="AD462" s="39" t="str">
        <x:v>用户的完整请求是：“SalesRep 这份表按之前那种方式处理一下。”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E46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462" s="50" t="str">
        <x:v>not_pass</x:v>
      </x:c>
      <x:c r="AG462" s="50" t="n">
        <x:v>0</x:v>
      </x:c>
    </x:row>
    <x:row r="463" ht="243" customHeight="1">
      <x:c r="A463" s="35" t="str">
        <x:v>V3_AQ01_Q02</x:v>
      </x:c>
      <x:c r="B463" s="36" t="str">
        <x:v>SG_CLARIFY_AQ01</x:v>
      </x:c>
      <x:c r="C463" s="36" t="str">
        <x:v>AQ01</x:v>
      </x:c>
      <x:c r="D463" s="36" t="str">
        <x:v>SalesRep 方案不明确</x:v>
      </x:c>
      <x:c r="E463" s="36" t="str">
        <x:v>clarification_required</x:v>
      </x:c>
      <x:c r="F463" s="36" t="str">
        <x:v>human_goal_oriented</x:v>
      </x:c>
      <x:c r="G463" s="36" t="str">
        <x:v>challenge</x:v>
      </x:c>
      <x:c r="H463" s="36" t="str">
        <x:v>困难</x:v>
      </x:c>
      <x:c r="I463" s="36" t="str">
        <x:v>0326d92d-d218-48a8-9ca1-981cd6d064c7|0a2e43bf-b26c-4631-a966-af9dfa12c9e5|26a8440e-c166-4c50-aef4-bfb77314b46b</x:v>
      </x:c>
      <x:c r="J463" s="36" t="str">
        <x:v>CTX_0326d92d-d218-48a8-9ca1-981cd6d064c7|CTX_0a2e43bf-b26c-4631-a966-af9dfa12c9e5|CTX_26a8440e-c166-4c50-aef4-bfb77314b46b</x:v>
      </x:c>
      <x:c r="K463" s="36" t="str"/>
      <x:c r="L463" s="36" t="str">
        <x:v>MTM_0326d92d-d218-48a8-9ca1-981cd6d064c7|MTM_0a2e43bf-b26c-4631-a966-af9dfa12c9e5|MTM_26a8440e-c166-4c50-aef4-bfb77314b46b</x:v>
      </x:c>
      <x:c r="M463" s="36" t="str"/>
      <x:c r="N463" s="36" t="str">
        <x:v>可复用模板</x:v>
      </x:c>
      <x:c r="O463" s="36" t="str">
        <x:v>中期</x:v>
      </x:c>
      <x:c r="P463" s="36" t="str">
        <x:v>["libreoffice_calc"]</x:v>
      </x:c>
      <x:c r="Q463" s="36" t="str">
        <x:v>[]</x:v>
      </x:c>
      <x:c r="R463" s="36" t="str">
        <x:v>[]</x:v>
      </x:c>
      <x:c r="S463" s="36" t="str"/>
      <x:c r="T463" s="36" t="str">
        <x:v>SalesRep.xlsx</x:v>
      </x:c>
      <x:c r="U463" s="36" t="str">
        <x:v>ask_clarification</x:v>
      </x:c>
      <x:c r="V463" s="36" t="str">
        <x:v>[{"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x:v>
      </x:c>
      <x:c r="W463" s="36" t="str">
        <x:v>1.00</x:v>
      </x:c>
      <x:c r="X463" s="39" t="str">
        <x:v>销售代表表继续做上次的版本。</x:v>
      </x:c>
      <x:c r="Y463" s="39" t="str">
        <x:v>不适用：当前题目在用户完成澄清前没有唯一的必需记忆。</x:v>
      </x:c>
      <x:c r="Z463"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x:v>
      </x:c>
      <x:c r="AA463" s="39" t="str">
        <x:v>不适用：当前题目没有指定需要排除的冲突或禁止记忆。</x:v>
      </x:c>
      <x:c r="AB463"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C463"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x:v>
      </x:c>
      <x:c r="AD463" s="39" t="str">
        <x:v>用户的完整请求是：“销售代表表继续做上次的版本。”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E46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463" s="50" t="str">
        <x:v>not_pass</x:v>
      </x:c>
      <x:c r="AG463" s="50" t="n">
        <x:v>0</x:v>
      </x:c>
    </x:row>
    <x:row r="464" ht="243" customHeight="1">
      <x:c r="A464" s="35" t="str">
        <x:v>V3_AQ01_Q03</x:v>
      </x:c>
      <x:c r="B464" s="36" t="str">
        <x:v>SG_CLARIFY_AQ01</x:v>
      </x:c>
      <x:c r="C464" s="36" t="str">
        <x:v>AQ01</x:v>
      </x:c>
      <x:c r="D464" s="36" t="str">
        <x:v>SalesRep 方案不明确</x:v>
      </x:c>
      <x:c r="E464" s="36" t="str">
        <x:v>clarification_required</x:v>
      </x:c>
      <x:c r="F464" s="36" t="str">
        <x:v>contextual_ellipsis</x:v>
      </x:c>
      <x:c r="G464" s="36" t="str">
        <x:v>challenge</x:v>
      </x:c>
      <x:c r="H464" s="36" t="str">
        <x:v>困难</x:v>
      </x:c>
      <x:c r="I464" s="36" t="str">
        <x:v>0326d92d-d218-48a8-9ca1-981cd6d064c7|0a2e43bf-b26c-4631-a966-af9dfa12c9e5|26a8440e-c166-4c50-aef4-bfb77314b46b</x:v>
      </x:c>
      <x:c r="J464" s="36" t="str">
        <x:v>CTX_0326d92d-d218-48a8-9ca1-981cd6d064c7|CTX_0a2e43bf-b26c-4631-a966-af9dfa12c9e5|CTX_26a8440e-c166-4c50-aef4-bfb77314b46b</x:v>
      </x:c>
      <x:c r="K464" s="36" t="str"/>
      <x:c r="L464" s="36" t="str">
        <x:v>MTM_0326d92d-d218-48a8-9ca1-981cd6d064c7|MTM_0a2e43bf-b26c-4631-a966-af9dfa12c9e5|MTM_26a8440e-c166-4c50-aef4-bfb77314b46b</x:v>
      </x:c>
      <x:c r="M464" s="36" t="str"/>
      <x:c r="N464" s="36" t="str">
        <x:v>可复用模板</x:v>
      </x:c>
      <x:c r="O464" s="36" t="str">
        <x:v>中期</x:v>
      </x:c>
      <x:c r="P464" s="36" t="str">
        <x:v>["libreoffice_calc"]</x:v>
      </x:c>
      <x:c r="Q464" s="36" t="str">
        <x:v>[]</x:v>
      </x:c>
      <x:c r="R464" s="36" t="str">
        <x:v>[]</x:v>
      </x:c>
      <x:c r="S464" s="36" t="str"/>
      <x:c r="T464" s="36" t="str">
        <x:v>SalesRep.xlsx</x:v>
      </x:c>
      <x:c r="U464" s="36" t="str">
        <x:v>ask_clarification</x:v>
      </x:c>
      <x:c r="V464" s="36" t="str">
        <x:v>[{"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x:v>
      </x:c>
      <x:c r="W464" s="36" t="str">
        <x:v>1.00</x:v>
      </x:c>
      <x:c r="X464" s="39" t="str">
        <x:v>我已经打开 SalesRep 了，照旧整理。</x:v>
      </x:c>
      <x:c r="Y464" s="39" t="str">
        <x:v>不适用：当前题目在用户完成澄清前没有唯一的必需记忆。</x:v>
      </x:c>
      <x:c r="Z464"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x:v>
      </x:c>
      <x:c r="AA464" s="39" t="str">
        <x:v>不适用：当前题目没有指定需要排除的冲突或禁止记忆。</x:v>
      </x:c>
      <x:c r="AB464"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C464"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x:v>
      </x:c>
      <x:c r="AD464" s="39" t="str">
        <x:v>用户的完整请求是：“我已经打开 SalesRep 了，照旧整理。”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E46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464" s="50" t="str">
        <x:v>not_pass</x:v>
      </x:c>
      <x:c r="AG464" s="50" t="n">
        <x:v>0</x:v>
      </x:c>
    </x:row>
    <x:row r="465" ht="243" customHeight="1">
      <x:c r="A465" s="35" t="str">
        <x:v>V3_AQ01_Q04</x:v>
      </x:c>
      <x:c r="B465" s="36" t="str">
        <x:v>SG_CLARIFY_AQ01</x:v>
      </x:c>
      <x:c r="C465" s="36" t="str">
        <x:v>AQ01</x:v>
      </x:c>
      <x:c r="D465" s="36" t="str">
        <x:v>SalesRep 方案不明确</x:v>
      </x:c>
      <x:c r="E465" s="36" t="str">
        <x:v>clarification_required</x:v>
      </x:c>
      <x:c r="F465" s="36" t="str">
        <x:v>low_overlap_paraphrase</x:v>
      </x:c>
      <x:c r="G465" s="36" t="str">
        <x:v>challenge</x:v>
      </x:c>
      <x:c r="H465" s="36" t="str">
        <x:v>困难</x:v>
      </x:c>
      <x:c r="I465" s="36" t="str">
        <x:v>0326d92d-d218-48a8-9ca1-981cd6d064c7|0a2e43bf-b26c-4631-a966-af9dfa12c9e5|26a8440e-c166-4c50-aef4-bfb77314b46b</x:v>
      </x:c>
      <x:c r="J465" s="36" t="str">
        <x:v>CTX_0326d92d-d218-48a8-9ca1-981cd6d064c7|CTX_0a2e43bf-b26c-4631-a966-af9dfa12c9e5|CTX_26a8440e-c166-4c50-aef4-bfb77314b46b</x:v>
      </x:c>
      <x:c r="K465" s="36" t="str"/>
      <x:c r="L465" s="36" t="str">
        <x:v>MTM_0326d92d-d218-48a8-9ca1-981cd6d064c7|MTM_0a2e43bf-b26c-4631-a966-af9dfa12c9e5|MTM_26a8440e-c166-4c50-aef4-bfb77314b46b</x:v>
      </x:c>
      <x:c r="M465" s="36" t="str"/>
      <x:c r="N465" s="36" t="str">
        <x:v>可复用模板</x:v>
      </x:c>
      <x:c r="O465" s="36" t="str">
        <x:v>中期</x:v>
      </x:c>
      <x:c r="P465" s="36" t="str">
        <x:v>["libreoffice_calc"]</x:v>
      </x:c>
      <x:c r="Q465" s="36" t="str">
        <x:v>[]</x:v>
      </x:c>
      <x:c r="R465" s="36" t="str">
        <x:v>[]</x:v>
      </x:c>
      <x:c r="S465" s="36" t="str"/>
      <x:c r="T465" s="36" t="str">
        <x:v>SalesRep.xlsx</x:v>
      </x:c>
      <x:c r="U465" s="36" t="str">
        <x:v>ask_clarification</x:v>
      </x:c>
      <x:c r="V465" s="36" t="str">
        <x:v>[{"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x:v>
      </x:c>
      <x:c r="W465" s="36" t="str">
        <x:v>1.00</x:v>
      </x:c>
      <x:c r="X465" s="39" t="str">
        <x:v>这份月度销售表还是按之前的结果来。</x:v>
      </x:c>
      <x:c r="Y465" s="39" t="str">
        <x:v>不适用：当前题目在用户完成澄清前没有唯一的必需记忆。</x:v>
      </x:c>
      <x:c r="Z465"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x:v>
      </x:c>
      <x:c r="AA465" s="39" t="str">
        <x:v>不适用：当前题目没有指定需要排除的冲突或禁止记忆。</x:v>
      </x:c>
      <x:c r="AB465"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C465"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x:v>
      </x:c>
      <x:c r="AD465" s="39" t="str">
        <x:v>用户的完整请求是：“这份月度销售表还是按之前的结果来。”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E46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465" s="50" t="str">
        <x:v>not_pass</x:v>
      </x:c>
      <x:c r="AG465" s="50" t="n">
        <x:v>0</x:v>
      </x:c>
    </x:row>
    <x:row r="466" ht="243" customHeight="1">
      <x:c r="A466" s="35" t="str">
        <x:v>V3_AQ01_Q05</x:v>
      </x:c>
      <x:c r="B466" s="36" t="str">
        <x:v>SG_CLARIFY_AQ01</x:v>
      </x:c>
      <x:c r="C466" s="36" t="str">
        <x:v>AQ01</x:v>
      </x:c>
      <x:c r="D466" s="36" t="str">
        <x:v>SalesRep 方案不明确</x:v>
      </x:c>
      <x:c r="E466" s="36" t="str">
        <x:v>clarification_required</x:v>
      </x:c>
      <x:c r="F466" s="36" t="str">
        <x:v>human_constraint_emphasis</x:v>
      </x:c>
      <x:c r="G466" s="36" t="str">
        <x:v>challenge</x:v>
      </x:c>
      <x:c r="H466" s="36" t="str">
        <x:v>困难</x:v>
      </x:c>
      <x:c r="I466" s="36" t="str">
        <x:v>0326d92d-d218-48a8-9ca1-981cd6d064c7|0a2e43bf-b26c-4631-a966-af9dfa12c9e5|26a8440e-c166-4c50-aef4-bfb77314b46b</x:v>
      </x:c>
      <x:c r="J466" s="36" t="str">
        <x:v>CTX_0326d92d-d218-48a8-9ca1-981cd6d064c7|CTX_0a2e43bf-b26c-4631-a966-af9dfa12c9e5|CTX_26a8440e-c166-4c50-aef4-bfb77314b46b</x:v>
      </x:c>
      <x:c r="K466" s="36" t="str"/>
      <x:c r="L466" s="36" t="str">
        <x:v>MTM_0326d92d-d218-48a8-9ca1-981cd6d064c7|MTM_0a2e43bf-b26c-4631-a966-af9dfa12c9e5|MTM_26a8440e-c166-4c50-aef4-bfb77314b46b</x:v>
      </x:c>
      <x:c r="M466" s="36" t="str"/>
      <x:c r="N466" s="36" t="str">
        <x:v>可复用模板</x:v>
      </x:c>
      <x:c r="O466" s="36" t="str">
        <x:v>中期</x:v>
      </x:c>
      <x:c r="P466" s="36" t="str">
        <x:v>["libreoffice_calc"]</x:v>
      </x:c>
      <x:c r="Q466" s="36" t="str">
        <x:v>[]</x:v>
      </x:c>
      <x:c r="R466" s="36" t="str">
        <x:v>[]</x:v>
      </x:c>
      <x:c r="S466" s="36" t="str"/>
      <x:c r="T466" s="36" t="str">
        <x:v>SalesRep.xlsx</x:v>
      </x:c>
      <x:c r="U466" s="36" t="str">
        <x:v>ask_clarification</x:v>
      </x:c>
      <x:c r="V466" s="36" t="str">
        <x:v>[{"point_id":"P1","description":"识别当前信息不足以唯一确定历史方案，不直接执行","weight":0.5,"evidence_memory_ids":["MTM_0326d92d-d218-48a8-9ca1-981cd6d064c7","MTM_0a2e43bf-b26c-4631-a966-af9dfa12c9e5","MTM_26a8440e-c166-4c50-aef4-bfb77314b46b"]},{"point_id":"P2","description":"提出能够区分现有候选方案的澄清问题","weight":0.4,"evidence_memory_ids":["MTM_0326d92d-d218-48a8-9ca1-981cd6d064c7","MTM_0a2e43bf-b26c-4631-a966-af9dfa12c9e5","MTM_26a8440e-c166-4c50-aef4-bfb77314b46b"]},{"point_id":"P3","description":"澄清前不擅自选择任一候选记忆","weight":0.1,"evidence_memory_ids":["MTM_0326d92d-d218-48a8-9ca1-981cd6d064c7","MTM_0a2e43bf-b26c-4631-a966-af9dfa12c9e5","MTM_26a8440e-c166-4c50-aef4-bfb77314b46b"]}]</x:v>
      </x:c>
      <x:c r="W466" s="36" t="str">
        <x:v>1.00</x:v>
      </x:c>
      <x:c r="X466" s="39" t="str">
        <x:v>帮我把 SalesRep 收尾，沿用以前的做法。</x:v>
      </x:c>
      <x:c r="Y466" s="39" t="str">
        <x:v>不适用：当前题目在用户完成澄清前没有唯一的必需记忆。</x:v>
      </x:c>
      <x:c r="Z466"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x:v>
      </x:c>
      <x:c r="AA466" s="39" t="str">
        <x:v>不适用：当前题目没有指定需要排除的冲突或禁止记忆。</x:v>
      </x:c>
      <x:c r="AB466"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C466"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两列表头，并列出所有月份及对应总销售额。只有在用户明确说明目标文件、工作表、范围、输出形式或具体方案后，才按照用户选定的对应记忆执行。</x:v>
      </x:c>
      <x:c r="AD466" s="39" t="str">
        <x:v>用户的完整请求是：“帮我把 SalesRep 收尾，沿用以前的做法。” 第1个当前上下文：SalesRep.xlsx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SalesRep.xlsx 新建 Sheet2，建立 Month 和 Total 两列表头，并列出所有月份及对应总销售额。在用户明确选择前，不应擅自执行其中任何一个方案。”</x:v>
      </x:c>
      <x:c r="AE46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SalesRep.xlsx 新建 Sheet2，建立 Month 和 Total 两列表头，并列出所有月份及对应总销售额。关键约束：只创建 Month/Total 两列表；放在 Sheet2；不创建图表或增长率行。
人工复审时，应依据模型最终给出的信息和实际操作是否满足上述每个得分点分别给分；只命中记忆 ID 但没有形成对应结论不能获得该结论分，形成了正确结论但表达方式不同则不应扣分。</x:v>
      </x:c>
      <x:c r="AF466" s="50" t="str">
        <x:v>not_pass</x:v>
      </x:c>
      <x:c r="AG466" s="50" t="n">
        <x:v>0</x:v>
      </x:c>
    </x:row>
    <x:row r="467" ht="202.5" customHeight="1">
      <x:c r="A467" s="35" t="str">
        <x:v>V3_AQ02_Q01</x:v>
      </x:c>
      <x:c r="B467" s="36" t="str">
        <x:v>SG_CLARIFY_AQ02</x:v>
      </x:c>
      <x:c r="C467" s="36" t="str">
        <x:v>AQ02</x:v>
      </x:c>
      <x:c r="D467" s="36" t="str">
        <x:v>NetIncome 输出不明确</x:v>
      </x:c>
      <x:c r="E467" s="36" t="str">
        <x:v>clarification_required</x:v>
      </x:c>
      <x:c r="F467" s="36" t="str">
        <x:v>human_context_explicit</x:v>
      </x:c>
      <x:c r="G467" s="36" t="str">
        <x:v>challenge</x:v>
      </x:c>
      <x:c r="H467" s="36" t="str">
        <x:v>困难</x:v>
      </x:c>
      <x:c r="I467" s="36" t="str">
        <x:v>1273e544-688f-496b-8d89-3e0f40aa0606|42e0a640-4f19-4b28-973d-729602b5a4a7</x:v>
      </x:c>
      <x:c r="J467" s="36" t="str">
        <x:v>CTX_1273e544-688f-496b-8d89-3e0f40aa0606|CTX_42e0a640-4f19-4b28-973d-729602b5a4a7</x:v>
      </x:c>
      <x:c r="K467" s="36" t="str"/>
      <x:c r="L467" s="36" t="str">
        <x:v>LTM_1273e544-688f-496b-8d89-3e0f40aa0606|LTM_42e0a640-4f19-4b28-973d-729602b5a4a7</x:v>
      </x:c>
      <x:c r="M467" s="36" t="str"/>
      <x:c r="N467" s="36" t="str">
        <x:v>工作流程|知识</x:v>
      </x:c>
      <x:c r="O467" s="36" t="str">
        <x:v>长期</x:v>
      </x:c>
      <x:c r="P467" s="36" t="str">
        <x:v>["libreoffice_calc"]</x:v>
      </x:c>
      <x:c r="Q467" s="36" t="str">
        <x:v>[]</x:v>
      </x:c>
      <x:c r="R467" s="36" t="str">
        <x:v>[]</x:v>
      </x:c>
      <x:c r="S467" s="36" t="str"/>
      <x:c r="T467" s="36" t="str">
        <x:v>NetIncome.xlsx</x:v>
      </x:c>
      <x:c r="U467" s="36" t="str">
        <x:v>ask_clarification</x:v>
      </x:c>
      <x:c r="V467" s="36" t="str">
        <x:v>[{"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x:v>
      </x:c>
      <x:c r="W467" s="36" t="str">
        <x:v>1.00</x:v>
      </x:c>
      <x:c r="X467" s="39" t="str">
        <x:v>NetIncome 的 Sheet2 按上次要求整理一下。</x:v>
      </x:c>
      <x:c r="Y467" s="39" t="str">
        <x:v>不适用：当前题目在用户完成澄清前没有唯一的必需记忆。</x:v>
      </x:c>
      <x:c r="Z467"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AA467" s="39" t="str">
        <x:v>不适用：当前题目没有指定需要排除的冲突或禁止记忆。</x:v>
      </x:c>
      <x:c r="AB467" s="39" t="str">
        <x:v>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C467" s="39" t="str">
        <x:v>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x:v>
      </x:c>
      <x:c r="AD467" s="39" t="str">
        <x:v>用户的完整请求是：“NetIncome 的 Sheet2 按上次要求整理一下。”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E46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67" s="50" t="str">
        <x:v>not_pass</x:v>
      </x:c>
      <x:c r="AG467" s="50" t="n">
        <x:v>0</x:v>
      </x:c>
    </x:row>
    <x:row r="468" ht="202.5" customHeight="1">
      <x:c r="A468" s="35" t="str">
        <x:v>V3_AQ02_Q02</x:v>
      </x:c>
      <x:c r="B468" s="36" t="str">
        <x:v>SG_CLARIFY_AQ02</x:v>
      </x:c>
      <x:c r="C468" s="36" t="str">
        <x:v>AQ02</x:v>
      </x:c>
      <x:c r="D468" s="36" t="str">
        <x:v>NetIncome 输出不明确</x:v>
      </x:c>
      <x:c r="E468" s="36" t="str">
        <x:v>clarification_required</x:v>
      </x:c>
      <x:c r="F468" s="36" t="str">
        <x:v>human_goal_oriented</x:v>
      </x:c>
      <x:c r="G468" s="36" t="str">
        <x:v>challenge</x:v>
      </x:c>
      <x:c r="H468" s="36" t="str">
        <x:v>困难</x:v>
      </x:c>
      <x:c r="I468" s="36" t="str">
        <x:v>1273e544-688f-496b-8d89-3e0f40aa0606|42e0a640-4f19-4b28-973d-729602b5a4a7</x:v>
      </x:c>
      <x:c r="J468" s="36" t="str">
        <x:v>CTX_1273e544-688f-496b-8d89-3e0f40aa0606|CTX_42e0a640-4f19-4b28-973d-729602b5a4a7</x:v>
      </x:c>
      <x:c r="K468" s="36" t="str"/>
      <x:c r="L468" s="36" t="str">
        <x:v>LTM_1273e544-688f-496b-8d89-3e0f40aa0606|LTM_42e0a640-4f19-4b28-973d-729602b5a4a7</x:v>
      </x:c>
      <x:c r="M468" s="36" t="str"/>
      <x:c r="N468" s="36" t="str">
        <x:v>工作流程|知识</x:v>
      </x:c>
      <x:c r="O468" s="36" t="str">
        <x:v>长期</x:v>
      </x:c>
      <x:c r="P468" s="36" t="str">
        <x:v>["libreoffice_calc"]</x:v>
      </x:c>
      <x:c r="Q468" s="36" t="str">
        <x:v>[]</x:v>
      </x:c>
      <x:c r="R468" s="36" t="str">
        <x:v>[]</x:v>
      </x:c>
      <x:c r="S468" s="36" t="str"/>
      <x:c r="T468" s="36" t="str">
        <x:v>NetIncome.xlsx</x:v>
      </x:c>
      <x:c r="U468" s="36" t="str">
        <x:v>ask_clarification</x:v>
      </x:c>
      <x:c r="V468" s="36" t="str">
        <x:v>[{"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x:v>
      </x:c>
      <x:c r="W468" s="36" t="str">
        <x:v>1.00</x:v>
      </x:c>
      <x:c r="X468" s="39" t="str">
        <x:v>这份净收益表还是把结果放第二张表。</x:v>
      </x:c>
      <x:c r="Y468" s="39" t="str">
        <x:v>不适用：当前题目在用户完成澄清前没有唯一的必需记忆。</x:v>
      </x:c>
      <x:c r="Z468"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AA468" s="39" t="str">
        <x:v>不适用：当前题目没有指定需要排除的冲突或禁止记忆。</x:v>
      </x:c>
      <x:c r="AB468" s="39" t="str">
        <x:v>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C468" s="39" t="str">
        <x:v>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x:v>
      </x:c>
      <x:c r="AD468" s="39" t="str">
        <x:v>用户的完整请求是：“这份净收益表还是把结果放第二张表。”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E46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68" s="50" t="str">
        <x:v>not_pass</x:v>
      </x:c>
      <x:c r="AG468" s="50" t="n">
        <x:v>0</x:v>
      </x:c>
    </x:row>
    <x:row r="469" ht="202.5" customHeight="1">
      <x:c r="A469" s="35" t="str">
        <x:v>V3_AQ02_Q03</x:v>
      </x:c>
      <x:c r="B469" s="36" t="str">
        <x:v>SG_CLARIFY_AQ02</x:v>
      </x:c>
      <x:c r="C469" s="36" t="str">
        <x:v>AQ02</x:v>
      </x:c>
      <x:c r="D469" s="36" t="str">
        <x:v>NetIncome 输出不明确</x:v>
      </x:c>
      <x:c r="E469" s="36" t="str">
        <x:v>clarification_required</x:v>
      </x:c>
      <x:c r="F469" s="36" t="str">
        <x:v>contextual_ellipsis</x:v>
      </x:c>
      <x:c r="G469" s="36" t="str">
        <x:v>challenge</x:v>
      </x:c>
      <x:c r="H469" s="36" t="str">
        <x:v>困难</x:v>
      </x:c>
      <x:c r="I469" s="36" t="str">
        <x:v>1273e544-688f-496b-8d89-3e0f40aa0606|42e0a640-4f19-4b28-973d-729602b5a4a7</x:v>
      </x:c>
      <x:c r="J469" s="36" t="str">
        <x:v>CTX_1273e544-688f-496b-8d89-3e0f40aa0606|CTX_42e0a640-4f19-4b28-973d-729602b5a4a7</x:v>
      </x:c>
      <x:c r="K469" s="36" t="str"/>
      <x:c r="L469" s="36" t="str">
        <x:v>LTM_1273e544-688f-496b-8d89-3e0f40aa0606|LTM_42e0a640-4f19-4b28-973d-729602b5a4a7</x:v>
      </x:c>
      <x:c r="M469" s="36" t="str"/>
      <x:c r="N469" s="36" t="str">
        <x:v>工作流程|知识</x:v>
      </x:c>
      <x:c r="O469" s="36" t="str">
        <x:v>长期</x:v>
      </x:c>
      <x:c r="P469" s="36" t="str">
        <x:v>["libreoffice_calc"]</x:v>
      </x:c>
      <x:c r="Q469" s="36" t="str">
        <x:v>[]</x:v>
      </x:c>
      <x:c r="R469" s="36" t="str">
        <x:v>[]</x:v>
      </x:c>
      <x:c r="S469" s="36" t="str"/>
      <x:c r="T469" s="36" t="str">
        <x:v>NetIncome.xlsx</x:v>
      </x:c>
      <x:c r="U469" s="36" t="str">
        <x:v>ask_clarification</x:v>
      </x:c>
      <x:c r="V469" s="36" t="str">
        <x:v>[{"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x:v>
      </x:c>
      <x:c r="W469" s="36" t="str">
        <x:v>1.00</x:v>
      </x:c>
      <x:c r="X469" s="39" t="str">
        <x:v>NetIncome 我已经打开了，按以前那版继续。</x:v>
      </x:c>
      <x:c r="Y469" s="39" t="str">
        <x:v>不适用：当前题目在用户完成澄清前没有唯一的必需记忆。</x:v>
      </x:c>
      <x:c r="Z469"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AA469" s="39" t="str">
        <x:v>不适用：当前题目没有指定需要排除的冲突或禁止记忆。</x:v>
      </x:c>
      <x:c r="AB469" s="39" t="str">
        <x:v>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C469" s="39" t="str">
        <x:v>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x:v>
      </x:c>
      <x:c r="AD469" s="39" t="str">
        <x:v>用户的完整请求是：“NetIncome 我已经打开了，按以前那版继续。”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E46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69" s="50" t="str">
        <x:v>not_pass</x:v>
      </x:c>
      <x:c r="AG469" s="50" t="n">
        <x:v>0</x:v>
      </x:c>
    </x:row>
    <x:row r="470" ht="202.5" customHeight="1">
      <x:c r="A470" s="35" t="str">
        <x:v>V3_AQ02_Q04</x:v>
      </x:c>
      <x:c r="B470" s="36" t="str">
        <x:v>SG_CLARIFY_AQ02</x:v>
      </x:c>
      <x:c r="C470" s="36" t="str">
        <x:v>AQ02</x:v>
      </x:c>
      <x:c r="D470" s="36" t="str">
        <x:v>NetIncome 输出不明确</x:v>
      </x:c>
      <x:c r="E470" s="36" t="str">
        <x:v>clarification_required</x:v>
      </x:c>
      <x:c r="F470" s="36" t="str">
        <x:v>low_overlap_paraphrase</x:v>
      </x:c>
      <x:c r="G470" s="36" t="str">
        <x:v>challenge</x:v>
      </x:c>
      <x:c r="H470" s="36" t="str">
        <x:v>困难</x:v>
      </x:c>
      <x:c r="I470" s="36" t="str">
        <x:v>1273e544-688f-496b-8d89-3e0f40aa0606|42e0a640-4f19-4b28-973d-729602b5a4a7</x:v>
      </x:c>
      <x:c r="J470" s="36" t="str">
        <x:v>CTX_1273e544-688f-496b-8d89-3e0f40aa0606|CTX_42e0a640-4f19-4b28-973d-729602b5a4a7</x:v>
      </x:c>
      <x:c r="K470" s="36" t="str"/>
      <x:c r="L470" s="36" t="str">
        <x:v>LTM_1273e544-688f-496b-8d89-3e0f40aa0606|LTM_42e0a640-4f19-4b28-973d-729602b5a4a7</x:v>
      </x:c>
      <x:c r="M470" s="36" t="str"/>
      <x:c r="N470" s="36" t="str">
        <x:v>工作流程|知识</x:v>
      </x:c>
      <x:c r="O470" s="36" t="str">
        <x:v>长期</x:v>
      </x:c>
      <x:c r="P470" s="36" t="str">
        <x:v>["libreoffice_calc"]</x:v>
      </x:c>
      <x:c r="Q470" s="36" t="str">
        <x:v>[]</x:v>
      </x:c>
      <x:c r="R470" s="36" t="str">
        <x:v>[]</x:v>
      </x:c>
      <x:c r="S470" s="36" t="str"/>
      <x:c r="T470" s="36" t="str">
        <x:v>NetIncome.xlsx</x:v>
      </x:c>
      <x:c r="U470" s="36" t="str">
        <x:v>ask_clarification</x:v>
      </x:c>
      <x:c r="V470" s="36" t="str">
        <x:v>[{"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x:v>
      </x:c>
      <x:c r="W470" s="36" t="str">
        <x:v>1.00</x:v>
      </x:c>
      <x:c r="X470" s="39" t="str">
        <x:v>把净收益表的第二张表补好，沿用之前的口径。</x:v>
      </x:c>
      <x:c r="Y470" s="39" t="str">
        <x:v>不适用：当前题目在用户完成澄清前没有唯一的必需记忆。</x:v>
      </x:c>
      <x:c r="Z470"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AA470" s="39" t="str">
        <x:v>不适用：当前题目没有指定需要排除的冲突或禁止记忆。</x:v>
      </x:c>
      <x:c r="AB470" s="39" t="str">
        <x:v>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C470" s="39" t="str">
        <x:v>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x:v>
      </x:c>
      <x:c r="AD470" s="39" t="str">
        <x:v>用户的完整请求是：“把净收益表的第二张表补好，沿用之前的口径。”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E47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70" s="50" t="str">
        <x:v>not_pass</x:v>
      </x:c>
      <x:c r="AG470" s="50" t="n">
        <x:v>0</x:v>
      </x:c>
    </x:row>
    <x:row r="471" ht="202.5" customHeight="1">
      <x:c r="A471" s="35" t="str">
        <x:v>V3_AQ02_Q05</x:v>
      </x:c>
      <x:c r="B471" s="36" t="str">
        <x:v>SG_CLARIFY_AQ02</x:v>
      </x:c>
      <x:c r="C471" s="36" t="str">
        <x:v>AQ02</x:v>
      </x:c>
      <x:c r="D471" s="36" t="str">
        <x:v>NetIncome 输出不明确</x:v>
      </x:c>
      <x:c r="E471" s="36" t="str">
        <x:v>clarification_required</x:v>
      </x:c>
      <x:c r="F471" s="36" t="str">
        <x:v>human_constraint_emphasis</x:v>
      </x:c>
      <x:c r="G471" s="36" t="str">
        <x:v>challenge</x:v>
      </x:c>
      <x:c r="H471" s="36" t="str">
        <x:v>困难</x:v>
      </x:c>
      <x:c r="I471" s="36" t="str">
        <x:v>1273e544-688f-496b-8d89-3e0f40aa0606|42e0a640-4f19-4b28-973d-729602b5a4a7</x:v>
      </x:c>
      <x:c r="J471" s="36" t="str">
        <x:v>CTX_1273e544-688f-496b-8d89-3e0f40aa0606|CTX_42e0a640-4f19-4b28-973d-729602b5a4a7</x:v>
      </x:c>
      <x:c r="K471" s="36" t="str"/>
      <x:c r="L471" s="36" t="str">
        <x:v>LTM_1273e544-688f-496b-8d89-3e0f40aa0606|LTM_42e0a640-4f19-4b28-973d-729602b5a4a7</x:v>
      </x:c>
      <x:c r="M471" s="36" t="str"/>
      <x:c r="N471" s="36" t="str">
        <x:v>工作流程|知识</x:v>
      </x:c>
      <x:c r="O471" s="36" t="str">
        <x:v>长期</x:v>
      </x:c>
      <x:c r="P471" s="36" t="str">
        <x:v>["libreoffice_calc"]</x:v>
      </x:c>
      <x:c r="Q471" s="36" t="str">
        <x:v>[]</x:v>
      </x:c>
      <x:c r="R471" s="36" t="str">
        <x:v>[]</x:v>
      </x:c>
      <x:c r="S471" s="36" t="str"/>
      <x:c r="T471" s="36" t="str">
        <x:v>NetIncome.xlsx</x:v>
      </x:c>
      <x:c r="U471" s="36" t="str">
        <x:v>ask_clarification</x:v>
      </x:c>
      <x:c r="V471" s="36" t="str">
        <x:v>[{"point_id":"P1","description":"识别当前信息不足以唯一确定历史方案，不直接执行","weight":0.5,"evidence_memory_ids":["LTM_1273e544-688f-496b-8d89-3e0f40aa0606","LTM_42e0a640-4f19-4b28-973d-729602b5a4a7"]},{"point_id":"P2","description":"提出能够区分现有候选方案的澄清问题","weight":0.4,"evidence_memory_ids":["LTM_1273e544-688f-496b-8d89-3e0f40aa0606","LTM_42e0a640-4f19-4b28-973d-729602b5a4a7"]},{"point_id":"P3","description":"澄清前不擅自选择任一候选记忆","weight":0.1,"evidence_memory_ids":["LTM_1273e544-688f-496b-8d89-3e0f40aa0606","LTM_42e0a640-4f19-4b28-973d-729602b5a4a7"]}]</x:v>
      </x:c>
      <x:c r="W471" s="36" t="str">
        <x:v>1.00</x:v>
      </x:c>
      <x:c r="X471" s="39" t="str">
        <x:v>这次 NetIncome 还是做上次那个结果。</x:v>
      </x:c>
      <x:c r="Y471" s="39" t="str">
        <x:v>不适用：当前题目在用户完成澄清前没有唯一的必需记忆。</x:v>
      </x:c>
      <x:c r="Z471" s="39" t="str">
        <x:v>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x:v>
      </x:c>
      <x:c r="AA471" s="39" t="str">
        <x:v>不适用：当前题目没有指定需要排除的冲突或禁止记忆。</x:v>
      </x:c>
      <x:c r="AB471" s="39" t="str">
        <x:v>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C471" s="39" t="str">
        <x:v>当前阶段不执行文件修改、数据处理、格式调整或结果导出。实际操作应当是先向用户完整列出并区分以下候选方案：1）把 NetIncome.xlsx 中 Revenue 列连同表头完整复制到新建的 Sheet2；2）在 NetIncome.xlsx 新建 Sheet2，分别计算 Revenue 列和 Total Expenses 列的总和，并放在 Total Revenue 与 Total Expenses 两列下。只有在用户明确说明目标文件、工作表、范围、输出形式或具体方案后，才按照用户选定的对应记忆执行。</x:v>
      </x:c>
      <x:c r="AD471" s="39" t="str">
        <x:v>用户的完整请求是：“这次 NetIncome 还是做上次那个结果。” 第1个当前上下文：NetIncome.xlsx 已在 LibreOffice Calc 中打开。 当前请求只表达了“继续以前的做法”或“按之前方式处理”这类概括性目标，没有说明具体要得到哪一种结果。历史中同时存在以下完整候选记忆：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NetIncome.xlsx 中 Revenue 列连同表头完整复制到新建的 Sheet2；2）在 NetIncome.xlsx 新建 Sheet2，分别计算 Revenue 列和 Total Expenses 列的总和，并放在 Total Revenue 与 Total Expenses 两列下。在用户明确选择前，不应擅自执行其中任何一个方案。”</x:v>
      </x:c>
      <x:c r="AE47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第2个得分点（0.40分）：提出能够区分现有候选方案的澄清问题。该得分点所依据的完整证据为：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第3个得分点（0.10分）：澄清前不擅自选择任一候选记忆。该得分点所依据的完整证据为：
第1条记忆（长期/工作流程）：把 NetIncome.xlsx 中 Revenue 列连同表头完整复制到新建的 Sheet2。关键约束：必须包含 Revenue 表头；目标为新建 Sheet2；不进行求和或复制其他列。
第2条记忆（长期/知识）：在 NetIncome.xlsx 新建 Sheet2，分别计算 Revenue 列和 Total Expenses 列的总和，并放在 Total Revenue 与 Total Expenses 两列下。关键约束：目标为 Sheet2；分别汇总收入和总费用；列名使用 Total Revenue 和 Total Expenses。
人工复审时，应依据模型最终给出的信息和实际操作是否满足上述每个得分点分别给分；只命中记忆 ID 但没有形成对应结论不能获得该结论分，形成了正确结论但表达方式不同则不应扣分。</x:v>
      </x:c>
      <x:c r="AF471" s="50" t="str">
        <x:v>not_pass</x:v>
      </x:c>
      <x:c r="AG471" s="50" t="n">
        <x:v>0</x:v>
      </x:c>
    </x:row>
    <x:row r="472" ht="189" customHeight="1">
      <x:c r="A472" s="35" t="str">
        <x:v>V3_AQ03_Q01</x:v>
      </x:c>
      <x:c r="B472" s="36" t="str">
        <x:v>SG_CLARIFY_AQ03</x:v>
      </x:c>
      <x:c r="C472" s="36" t="str">
        <x:v>AQ03</x:v>
      </x:c>
      <x:c r="D472" s="36" t="str">
        <x:v>WeeklySales 输出不明确</x:v>
      </x:c>
      <x:c r="E472" s="36" t="str">
        <x:v>clarification_required</x:v>
      </x:c>
      <x:c r="F472" s="36" t="str">
        <x:v>human_context_explicit</x:v>
      </x:c>
      <x:c r="G472" s="36" t="str">
        <x:v>challenge</x:v>
      </x:c>
      <x:c r="H472" s="36" t="str">
        <x:v>困难</x:v>
      </x:c>
      <x:c r="I472" s="36" t="str">
        <x:v>12382c62-0cd1-4bf2-bdc8-1d20bf9b2371|1e8df695-bd1b-45b3-b557-e7d599cf7597</x:v>
      </x:c>
      <x:c r="J472" s="36" t="str">
        <x:v>CTX_12382c62-0cd1-4bf2-bdc8-1d20bf9b2371|CTX_1e8df695-bd1b-45b3-b557-e7d599cf7597</x:v>
      </x:c>
      <x:c r="K472" s="36" t="str"/>
      <x:c r="L472" s="36" t="str">
        <x:v>MTM_12382c62-0cd1-4bf2-bdc8-1d20bf9b2371|MTM_1e8df695-bd1b-45b3-b557-e7d599cf7597</x:v>
      </x:c>
      <x:c r="M472" s="36" t="str"/>
      <x:c r="N472" s="36" t="str">
        <x:v>可复用模板|知识</x:v>
      </x:c>
      <x:c r="O472" s="36" t="str">
        <x:v>中期</x:v>
      </x:c>
      <x:c r="P472" s="36" t="str">
        <x:v>["libreoffice_calc"]</x:v>
      </x:c>
      <x:c r="Q472" s="36" t="str">
        <x:v>[]</x:v>
      </x:c>
      <x:c r="R472" s="36" t="str">
        <x:v>[]</x:v>
      </x:c>
      <x:c r="S472" s="36" t="str"/>
      <x:c r="T472" s="36" t="str">
        <x:v>WeeklySales.xlsx</x:v>
      </x:c>
      <x:c r="U472" s="36" t="str">
        <x:v>ask_clarification</x:v>
      </x:c>
      <x:c r="V472" s="36" t="str">
        <x:v>[{"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x:v>
      </x:c>
      <x:c r="W472" s="36" t="str">
        <x:v>1.00</x:v>
      </x:c>
      <x:c r="X472" s="39" t="str">
        <x:v>WeeklySales 的周报按之前做法补一下。</x:v>
      </x:c>
      <x:c r="Y472" s="39" t="str">
        <x:v>不适用：当前题目在用户完成澄清前没有唯一的必需记忆。</x:v>
      </x:c>
      <x:c r="Z472" s="39" t="str">
        <x:v>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x:v>
      </x:c>
      <x:c r="AA472" s="39" t="str">
        <x:v>不适用：当前题目没有指定需要排除的冲突或禁止记忆。</x:v>
      </x:c>
      <x:c r="AB472" s="39" t="str">
        <x:v>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C472" s="39" t="str">
        <x:v>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x:v>
      </x:c>
      <x:c r="AD472" s="39" t="str">
        <x:v>用户的完整请求是：“WeeklySales 的周报按之前做法补一下。”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E47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72" s="50" t="str">
        <x:v>not_pass</x:v>
      </x:c>
      <x:c r="AG472" s="50" t="n">
        <x:v>0</x:v>
      </x:c>
    </x:row>
    <x:row r="473" ht="189" customHeight="1">
      <x:c r="A473" s="35" t="str">
        <x:v>V3_AQ03_Q02</x:v>
      </x:c>
      <x:c r="B473" s="36" t="str">
        <x:v>SG_CLARIFY_AQ03</x:v>
      </x:c>
      <x:c r="C473" s="36" t="str">
        <x:v>AQ03</x:v>
      </x:c>
      <x:c r="D473" s="36" t="str">
        <x:v>WeeklySales 输出不明确</x:v>
      </x:c>
      <x:c r="E473" s="36" t="str">
        <x:v>clarification_required</x:v>
      </x:c>
      <x:c r="F473" s="36" t="str">
        <x:v>human_goal_oriented</x:v>
      </x:c>
      <x:c r="G473" s="36" t="str">
        <x:v>challenge</x:v>
      </x:c>
      <x:c r="H473" s="36" t="str">
        <x:v>困难</x:v>
      </x:c>
      <x:c r="I473" s="36" t="str">
        <x:v>12382c62-0cd1-4bf2-bdc8-1d20bf9b2371|1e8df695-bd1b-45b3-b557-e7d599cf7597</x:v>
      </x:c>
      <x:c r="J473" s="36" t="str">
        <x:v>CTX_12382c62-0cd1-4bf2-bdc8-1d20bf9b2371|CTX_1e8df695-bd1b-45b3-b557-e7d599cf7597</x:v>
      </x:c>
      <x:c r="K473" s="36" t="str"/>
      <x:c r="L473" s="36" t="str">
        <x:v>MTM_12382c62-0cd1-4bf2-bdc8-1d20bf9b2371|MTM_1e8df695-bd1b-45b3-b557-e7d599cf7597</x:v>
      </x:c>
      <x:c r="M473" s="36" t="str"/>
      <x:c r="N473" s="36" t="str">
        <x:v>可复用模板|知识</x:v>
      </x:c>
      <x:c r="O473" s="36" t="str">
        <x:v>中期</x:v>
      </x:c>
      <x:c r="P473" s="36" t="str">
        <x:v>["libreoffice_calc"]</x:v>
      </x:c>
      <x:c r="Q473" s="36" t="str">
        <x:v>[]</x:v>
      </x:c>
      <x:c r="R473" s="36" t="str">
        <x:v>[]</x:v>
      </x:c>
      <x:c r="S473" s="36" t="str"/>
      <x:c r="T473" s="36" t="str">
        <x:v>WeeklySales.xlsx</x:v>
      </x:c>
      <x:c r="U473" s="36" t="str">
        <x:v>ask_clarification</x:v>
      </x:c>
      <x:c r="V473" s="36" t="str">
        <x:v>[{"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x:v>
      </x:c>
      <x:c r="W473" s="36" t="str">
        <x:v>1.00</x:v>
      </x:c>
      <x:c r="X473" s="39" t="str">
        <x:v>这份周销售表继续用上次的处理方式。</x:v>
      </x:c>
      <x:c r="Y473" s="39" t="str">
        <x:v>不适用：当前题目在用户完成澄清前没有唯一的必需记忆。</x:v>
      </x:c>
      <x:c r="Z473" s="39" t="str">
        <x:v>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x:v>
      </x:c>
      <x:c r="AA473" s="39" t="str">
        <x:v>不适用：当前题目没有指定需要排除的冲突或禁止记忆。</x:v>
      </x:c>
      <x:c r="AB473" s="39" t="str">
        <x:v>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C473" s="39" t="str">
        <x:v>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x:v>
      </x:c>
      <x:c r="AD473" s="39" t="str">
        <x:v>用户的完整请求是：“这份周销售表继续用上次的处理方式。”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E47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73" s="50" t="str">
        <x:v>not_pass</x:v>
      </x:c>
      <x:c r="AG473" s="50" t="n">
        <x:v>0</x:v>
      </x:c>
    </x:row>
    <x:row r="474" ht="189" customHeight="1">
      <x:c r="A474" s="35" t="str">
        <x:v>V3_AQ03_Q03</x:v>
      </x:c>
      <x:c r="B474" s="36" t="str">
        <x:v>SG_CLARIFY_AQ03</x:v>
      </x:c>
      <x:c r="C474" s="36" t="str">
        <x:v>AQ03</x:v>
      </x:c>
      <x:c r="D474" s="36" t="str">
        <x:v>WeeklySales 输出不明确</x:v>
      </x:c>
      <x:c r="E474" s="36" t="str">
        <x:v>clarification_required</x:v>
      </x:c>
      <x:c r="F474" s="36" t="str">
        <x:v>contextual_ellipsis</x:v>
      </x:c>
      <x:c r="G474" s="36" t="str">
        <x:v>challenge</x:v>
      </x:c>
      <x:c r="H474" s="36" t="str">
        <x:v>困难</x:v>
      </x:c>
      <x:c r="I474" s="36" t="str">
        <x:v>12382c62-0cd1-4bf2-bdc8-1d20bf9b2371|1e8df695-bd1b-45b3-b557-e7d599cf7597</x:v>
      </x:c>
      <x:c r="J474" s="36" t="str">
        <x:v>CTX_12382c62-0cd1-4bf2-bdc8-1d20bf9b2371|CTX_1e8df695-bd1b-45b3-b557-e7d599cf7597</x:v>
      </x:c>
      <x:c r="K474" s="36" t="str"/>
      <x:c r="L474" s="36" t="str">
        <x:v>MTM_12382c62-0cd1-4bf2-bdc8-1d20bf9b2371|MTM_1e8df695-bd1b-45b3-b557-e7d599cf7597</x:v>
      </x:c>
      <x:c r="M474" s="36" t="str"/>
      <x:c r="N474" s="36" t="str">
        <x:v>可复用模板|知识</x:v>
      </x:c>
      <x:c r="O474" s="36" t="str">
        <x:v>中期</x:v>
      </x:c>
      <x:c r="P474" s="36" t="str">
        <x:v>["libreoffice_calc"]</x:v>
      </x:c>
      <x:c r="Q474" s="36" t="str">
        <x:v>[]</x:v>
      </x:c>
      <x:c r="R474" s="36" t="str">
        <x:v>[]</x:v>
      </x:c>
      <x:c r="S474" s="36" t="str"/>
      <x:c r="T474" s="36" t="str">
        <x:v>WeeklySales.xlsx</x:v>
      </x:c>
      <x:c r="U474" s="36" t="str">
        <x:v>ask_clarification</x:v>
      </x:c>
      <x:c r="V474" s="36" t="str">
        <x:v>[{"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x:v>
      </x:c>
      <x:c r="W474" s="36" t="str">
        <x:v>1.00</x:v>
      </x:c>
      <x:c r="X474" s="39" t="str">
        <x:v>WeeklySales 已经打开了，照旧收尾。</x:v>
      </x:c>
      <x:c r="Y474" s="39" t="str">
        <x:v>不适用：当前题目在用户完成澄清前没有唯一的必需记忆。</x:v>
      </x:c>
      <x:c r="Z474" s="39" t="str">
        <x:v>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x:v>
      </x:c>
      <x:c r="AA474" s="39" t="str">
        <x:v>不适用：当前题目没有指定需要排除的冲突或禁止记忆。</x:v>
      </x:c>
      <x:c r="AB474" s="39" t="str">
        <x:v>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C474" s="39" t="str">
        <x:v>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x:v>
      </x:c>
      <x:c r="AD474" s="39" t="str">
        <x:v>用户的完整请求是：“WeeklySales 已经打开了，照旧收尾。”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E47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74" s="50" t="str">
        <x:v>not_pass</x:v>
      </x:c>
      <x:c r="AG474" s="50" t="n">
        <x:v>0</x:v>
      </x:c>
    </x:row>
    <x:row r="475" ht="189" customHeight="1">
      <x:c r="A475" s="35" t="str">
        <x:v>V3_AQ03_Q04</x:v>
      </x:c>
      <x:c r="B475" s="36" t="str">
        <x:v>SG_CLARIFY_AQ03</x:v>
      </x:c>
      <x:c r="C475" s="36" t="str">
        <x:v>AQ03</x:v>
      </x:c>
      <x:c r="D475" s="36" t="str">
        <x:v>WeeklySales 输出不明确</x:v>
      </x:c>
      <x:c r="E475" s="36" t="str">
        <x:v>clarification_required</x:v>
      </x:c>
      <x:c r="F475" s="36" t="str">
        <x:v>low_overlap_paraphrase</x:v>
      </x:c>
      <x:c r="G475" s="36" t="str">
        <x:v>challenge</x:v>
      </x:c>
      <x:c r="H475" s="36" t="str">
        <x:v>困难</x:v>
      </x:c>
      <x:c r="I475" s="36" t="str">
        <x:v>12382c62-0cd1-4bf2-bdc8-1d20bf9b2371|1e8df695-bd1b-45b3-b557-e7d599cf7597</x:v>
      </x:c>
      <x:c r="J475" s="36" t="str">
        <x:v>CTX_12382c62-0cd1-4bf2-bdc8-1d20bf9b2371|CTX_1e8df695-bd1b-45b3-b557-e7d599cf7597</x:v>
      </x:c>
      <x:c r="K475" s="36" t="str"/>
      <x:c r="L475" s="36" t="str">
        <x:v>MTM_12382c62-0cd1-4bf2-bdc8-1d20bf9b2371|MTM_1e8df695-bd1b-45b3-b557-e7d599cf7597</x:v>
      </x:c>
      <x:c r="M475" s="36" t="str"/>
      <x:c r="N475" s="36" t="str">
        <x:v>可复用模板|知识</x:v>
      </x:c>
      <x:c r="O475" s="36" t="str">
        <x:v>中期</x:v>
      </x:c>
      <x:c r="P475" s="36" t="str">
        <x:v>["libreoffice_calc"]</x:v>
      </x:c>
      <x:c r="Q475" s="36" t="str">
        <x:v>[]</x:v>
      </x:c>
      <x:c r="R475" s="36" t="str">
        <x:v>[]</x:v>
      </x:c>
      <x:c r="S475" s="36" t="str"/>
      <x:c r="T475" s="36" t="str">
        <x:v>WeeklySales.xlsx</x:v>
      </x:c>
      <x:c r="U475" s="36" t="str">
        <x:v>ask_clarification</x:v>
      </x:c>
      <x:c r="V475" s="36" t="str">
        <x:v>[{"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x:v>
      </x:c>
      <x:c r="W475" s="36" t="str">
        <x:v>1.00</x:v>
      </x:c>
      <x:c r="X475" s="39" t="str">
        <x:v>把每周销售那张表按以前的版本整理好。</x:v>
      </x:c>
      <x:c r="Y475" s="39" t="str">
        <x:v>不适用：当前题目在用户完成澄清前没有唯一的必需记忆。</x:v>
      </x:c>
      <x:c r="Z475" s="39" t="str">
        <x:v>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x:v>
      </x:c>
      <x:c r="AA475" s="39" t="str">
        <x:v>不适用：当前题目没有指定需要排除的冲突或禁止记忆。</x:v>
      </x:c>
      <x:c r="AB475" s="39" t="str">
        <x:v>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C475" s="39" t="str">
        <x:v>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x:v>
      </x:c>
      <x:c r="AD475" s="39" t="str">
        <x:v>用户的完整请求是：“把每周销售那张表按以前的版本整理好。”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E47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75" s="50" t="str">
        <x:v>not_pass</x:v>
      </x:c>
      <x:c r="AG475" s="50" t="n">
        <x:v>0</x:v>
      </x:c>
    </x:row>
    <x:row r="476" ht="189" customHeight="1">
      <x:c r="A476" s="35" t="str">
        <x:v>V3_AQ03_Q05</x:v>
      </x:c>
      <x:c r="B476" s="36" t="str">
        <x:v>SG_CLARIFY_AQ03</x:v>
      </x:c>
      <x:c r="C476" s="36" t="str">
        <x:v>AQ03</x:v>
      </x:c>
      <x:c r="D476" s="36" t="str">
        <x:v>WeeklySales 输出不明确</x:v>
      </x:c>
      <x:c r="E476" s="36" t="str">
        <x:v>clarification_required</x:v>
      </x:c>
      <x:c r="F476" s="36" t="str">
        <x:v>human_constraint_emphasis</x:v>
      </x:c>
      <x:c r="G476" s="36" t="str">
        <x:v>challenge</x:v>
      </x:c>
      <x:c r="H476" s="36" t="str">
        <x:v>困难</x:v>
      </x:c>
      <x:c r="I476" s="36" t="str">
        <x:v>12382c62-0cd1-4bf2-bdc8-1d20bf9b2371|1e8df695-bd1b-45b3-b557-e7d599cf7597</x:v>
      </x:c>
      <x:c r="J476" s="36" t="str">
        <x:v>CTX_12382c62-0cd1-4bf2-bdc8-1d20bf9b2371|CTX_1e8df695-bd1b-45b3-b557-e7d599cf7597</x:v>
      </x:c>
      <x:c r="K476" s="36" t="str"/>
      <x:c r="L476" s="36" t="str">
        <x:v>MTM_12382c62-0cd1-4bf2-bdc8-1d20bf9b2371|MTM_1e8df695-bd1b-45b3-b557-e7d599cf7597</x:v>
      </x:c>
      <x:c r="M476" s="36" t="str"/>
      <x:c r="N476" s="36" t="str">
        <x:v>可复用模板|知识</x:v>
      </x:c>
      <x:c r="O476" s="36" t="str">
        <x:v>中期</x:v>
      </x:c>
      <x:c r="P476" s="36" t="str">
        <x:v>["libreoffice_calc"]</x:v>
      </x:c>
      <x:c r="Q476" s="36" t="str">
        <x:v>[]</x:v>
      </x:c>
      <x:c r="R476" s="36" t="str">
        <x:v>[]</x:v>
      </x:c>
      <x:c r="S476" s="36" t="str"/>
      <x:c r="T476" s="36" t="str">
        <x:v>WeeklySales.xlsx</x:v>
      </x:c>
      <x:c r="U476" s="36" t="str">
        <x:v>ask_clarification</x:v>
      </x:c>
      <x:c r="V476" s="36" t="str">
        <x:v>[{"point_id":"P1","description":"识别当前信息不足以唯一确定历史方案，不直接执行","weight":0.5,"evidence_memory_ids":["MTM_12382c62-0cd1-4bf2-bdc8-1d20bf9b2371","MTM_1e8df695-bd1b-45b3-b557-e7d599cf7597"]},{"point_id":"P2","description":"提出能够区分现有候选方案的澄清问题","weight":0.4,"evidence_memory_ids":["MTM_12382c62-0cd1-4bf2-bdc8-1d20bf9b2371","MTM_1e8df695-bd1b-45b3-b557-e7d599cf7597"]},{"point_id":"P3","description":"澄清前不擅自选择任一候选记忆","weight":0.1,"evidence_memory_ids":["MTM_12382c62-0cd1-4bf2-bdc8-1d20bf9b2371","MTM_1e8df695-bd1b-45b3-b557-e7d599cf7597"]}]</x:v>
      </x:c>
      <x:c r="W476" s="36" t="str">
        <x:v>1.00</x:v>
      </x:c>
      <x:c r="X476" s="39" t="str">
        <x:v>周报表还是做我们之前做过的那个结果。</x:v>
      </x:c>
      <x:c r="Y476" s="39" t="str">
        <x:v>不适用：当前题目在用户完成澄清前没有唯一的必需记忆。</x:v>
      </x:c>
      <x:c r="Z476" s="39" t="str">
        <x:v>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x:v>
      </x:c>
      <x:c r="AA476" s="39" t="str">
        <x:v>不适用：当前题目没有指定需要排除的冲突或禁止记忆。</x:v>
      </x:c>
      <x:c r="AB476" s="39" t="str">
        <x:v>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C476" s="39" t="str">
        <x:v>当前阶段不执行文件修改、数据处理、格式调整或结果导出。实际操作应当是先向用户完整列出并区分以下候选方案：1）在 WeeklySales.xlsx 新建 Sheet2，为每周的 Sales 和 COGS 数据创建簇状柱形图，图表标题设为 Sales &amp; COGS；2）在 WeeklySales.xlsx 的 COGS 列右侧新增 Profit 列，并按每周 Sales 减去 COGS 计算利润。只有在用户明确说明目标文件、工作表、范围、输出形式或具体方案后，才按照用户选定的对应记忆执行。</x:v>
      </x:c>
      <x:c r="AD476" s="39" t="str">
        <x:v>用户的完整请求是：“周报表还是做我们之前做过的那个结果。” 第1个当前上下文：WeeklySales.xlsx 已在 LibreOffice Calc 中打开。 当前请求只表达了“继续以前的做法”或“按之前方式处理”这类概括性目标，没有说明具体要得到哪一种结果。历史中同时存在以下完整候选记忆：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WeeklySales.xlsx 新建 Sheet2，为每周的 Sales 和 COGS 数据创建簇状柱形图，图表标题设为 Sales &amp; COGS；2）在 WeeklySales.xlsx 的 COGS 列右侧新增 Profit 列，并按每周 Sales 减去 COGS 计算利润。在用户明确选择前，不应擅自执行其中任何一个方案。”</x:v>
      </x:c>
      <x:c r="AE47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第2个得分点（0.40分）：提出能够区分现有候选方案的澄清问题。该得分点所依据的完整证据为：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第3个得分点（0.10分）：澄清前不擅自选择任一候选记忆。该得分点所依据的完整证据为：
第1条记忆（中期/可复用模板）：在 WeeklySales.xlsx 新建 Sheet2，为每周的 Sales 和 COGS 数据创建簇状柱形图，图表标题设为 Sales &amp; COGS。关键约束：图表放在 Sheet2；图表类型为簇状柱形图；标题必须为 Sales &amp; COGS。
第2条记忆（中期/知识）：在 WeeklySales.xlsx 的 COGS 列右侧新增 Profit 列，并按每周 Sales 减去 COGS 计算利润。关键约束：Profit 紧邻 COGS；逐周计算 Sales-COGS；不创建图表。
人工复审时，应依据模型最终给出的信息和实际操作是否满足上述每个得分点分别给分；只命中记忆 ID 但没有形成对应结论不能获得该结论分，形成了正确结论但表达方式不同则不应扣分。</x:v>
      </x:c>
      <x:c r="AF476" s="50" t="str">
        <x:v>not_pass</x:v>
      </x:c>
      <x:c r="AG476" s="50" t="n">
        <x:v>0</x:v>
      </x:c>
    </x:row>
    <x:row r="477" ht="202.5" customHeight="1">
      <x:c r="A477" s="35" t="str">
        <x:v>V3_AQ04_Q01</x:v>
      </x:c>
      <x:c r="B477" s="36" t="str">
        <x:v>SG_CLARIFY_AQ04</x:v>
      </x:c>
      <x:c r="C477" s="36" t="str">
        <x:v>AQ04</x:v>
      </x:c>
      <x:c r="D477" s="36" t="str">
        <x:v>BoomerangSales 分析不明确</x:v>
      </x:c>
      <x:c r="E477" s="36" t="str">
        <x:v>clarification_required</x:v>
      </x:c>
      <x:c r="F477" s="36" t="str">
        <x:v>human_context_explicit</x:v>
      </x:c>
      <x:c r="G477" s="36" t="str">
        <x:v>challenge</x:v>
      </x:c>
      <x:c r="H477" s="36" t="str">
        <x:v>困难</x:v>
      </x:c>
      <x:c r="I477" s="36" t="str">
        <x:v>3a7c8185-25c1-4941-bd7b-96e823c9f21f|51719eea-10bc-4246-a428-ac7c433dd4b3</x:v>
      </x:c>
      <x:c r="J477" s="36" t="str">
        <x:v>CTX_3a7c8185-25c1-4941-bd7b-96e823c9f21f|CTX_51719eea-10bc-4246-a428-ac7c433dd4b3</x:v>
      </x:c>
      <x:c r="K477" s="36" t="str"/>
      <x:c r="L477" s="36" t="str">
        <x:v>MTM_3a7c8185-25c1-4941-bd7b-96e823c9f21f|STM_51719eea-10bc-4246-a428-ac7c433dd4b3</x:v>
      </x:c>
      <x:c r="M477" s="36" t="str"/>
      <x:c r="N477" s="36" t="str">
        <x:v>工作流程</x:v>
      </x:c>
      <x:c r="O477" s="36" t="str">
        <x:v>中期|短期</x:v>
      </x:c>
      <x:c r="P477" s="36" t="str">
        <x:v>["libreoffice_calc"]</x:v>
      </x:c>
      <x:c r="Q477" s="36" t="str">
        <x:v>[]</x:v>
      </x:c>
      <x:c r="R477" s="36" t="str">
        <x:v>[]</x:v>
      </x:c>
      <x:c r="S477" s="36" t="str"/>
      <x:c r="T477" s="36" t="str">
        <x:v>BoomerangSales.xlsx</x:v>
      </x:c>
      <x:c r="U477" s="36" t="str">
        <x:v>ask_clarification</x:v>
      </x:c>
      <x:c r="V477" s="36" t="str">
        <x:v>[{"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x:v>
      </x:c>
      <x:c r="W477" s="36" t="str">
        <x:v>1.00</x:v>
      </x:c>
      <x:c r="X477" s="39" t="str">
        <x:v>BoomerangSales 按之前的分析方法处理。</x:v>
      </x:c>
      <x:c r="Y477" s="39" t="str">
        <x:v>不适用：当前题目在用户完成澄清前没有唯一的必需记忆。</x:v>
      </x:c>
      <x:c r="Z477"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77" s="39" t="str">
        <x:v>不适用：当前题目没有指定需要排除的冲突或禁止记忆。</x:v>
      </x:c>
      <x:c r="AB477" s="39" t="str">
        <x:v>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C477" s="39" t="str">
        <x:v>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77" s="39" t="str">
        <x:v>用户的完整请求是：“BoomerangSales 按之前的分析方法处理。”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E47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77" s="50" t="str">
        <x:v>not_pass</x:v>
      </x:c>
      <x:c r="AG477" s="50" t="n">
        <x:v>0</x:v>
      </x:c>
    </x:row>
    <x:row r="478" ht="202.5" customHeight="1">
      <x:c r="A478" s="35" t="str">
        <x:v>V3_AQ04_Q02</x:v>
      </x:c>
      <x:c r="B478" s="36" t="str">
        <x:v>SG_CLARIFY_AQ04</x:v>
      </x:c>
      <x:c r="C478" s="36" t="str">
        <x:v>AQ04</x:v>
      </x:c>
      <x:c r="D478" s="36" t="str">
        <x:v>BoomerangSales 分析不明确</x:v>
      </x:c>
      <x:c r="E478" s="36" t="str">
        <x:v>clarification_required</x:v>
      </x:c>
      <x:c r="F478" s="36" t="str">
        <x:v>human_goal_oriented</x:v>
      </x:c>
      <x:c r="G478" s="36" t="str">
        <x:v>challenge</x:v>
      </x:c>
      <x:c r="H478" s="36" t="str">
        <x:v>困难</x:v>
      </x:c>
      <x:c r="I478" s="36" t="str">
        <x:v>3a7c8185-25c1-4941-bd7b-96e823c9f21f|51719eea-10bc-4246-a428-ac7c433dd4b3</x:v>
      </x:c>
      <x:c r="J478" s="36" t="str">
        <x:v>CTX_3a7c8185-25c1-4941-bd7b-96e823c9f21f|CTX_51719eea-10bc-4246-a428-ac7c433dd4b3</x:v>
      </x:c>
      <x:c r="K478" s="36" t="str"/>
      <x:c r="L478" s="36" t="str">
        <x:v>MTM_3a7c8185-25c1-4941-bd7b-96e823c9f21f|STM_51719eea-10bc-4246-a428-ac7c433dd4b3</x:v>
      </x:c>
      <x:c r="M478" s="36" t="str"/>
      <x:c r="N478" s="36" t="str">
        <x:v>工作流程</x:v>
      </x:c>
      <x:c r="O478" s="36" t="str">
        <x:v>中期|短期</x:v>
      </x:c>
      <x:c r="P478" s="36" t="str">
        <x:v>["libreoffice_calc"]</x:v>
      </x:c>
      <x:c r="Q478" s="36" t="str">
        <x:v>[]</x:v>
      </x:c>
      <x:c r="R478" s="36" t="str">
        <x:v>[]</x:v>
      </x:c>
      <x:c r="S478" s="36" t="str"/>
      <x:c r="T478" s="36" t="str">
        <x:v>BoomerangSales.xlsx</x:v>
      </x:c>
      <x:c r="U478" s="36" t="str">
        <x:v>ask_clarification</x:v>
      </x:c>
      <x:c r="V478" s="36" t="str">
        <x:v>[{"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x:v>
      </x:c>
      <x:c r="W478" s="36" t="str">
        <x:v>1.00</x:v>
      </x:c>
      <x:c r="X478" s="39" t="str">
        <x:v>这份回旋镖销售表继续做上次那版。</x:v>
      </x:c>
      <x:c r="Y478" s="39" t="str">
        <x:v>不适用：当前题目在用户完成澄清前没有唯一的必需记忆。</x:v>
      </x:c>
      <x:c r="Z478"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78" s="39" t="str">
        <x:v>不适用：当前题目没有指定需要排除的冲突或禁止记忆。</x:v>
      </x:c>
      <x:c r="AB478" s="39" t="str">
        <x:v>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C478" s="39" t="str">
        <x:v>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78" s="39" t="str">
        <x:v>用户的完整请求是：“这份回旋镖销售表继续做上次那版。”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E47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78" s="50" t="str">
        <x:v>not_pass</x:v>
      </x:c>
      <x:c r="AG478" s="50" t="n">
        <x:v>0</x:v>
      </x:c>
    </x:row>
    <x:row r="479" ht="202.5" customHeight="1">
      <x:c r="A479" s="35" t="str">
        <x:v>V3_AQ04_Q03</x:v>
      </x:c>
      <x:c r="B479" s="36" t="str">
        <x:v>SG_CLARIFY_AQ04</x:v>
      </x:c>
      <x:c r="C479" s="36" t="str">
        <x:v>AQ04</x:v>
      </x:c>
      <x:c r="D479" s="36" t="str">
        <x:v>BoomerangSales 分析不明确</x:v>
      </x:c>
      <x:c r="E479" s="36" t="str">
        <x:v>clarification_required</x:v>
      </x:c>
      <x:c r="F479" s="36" t="str">
        <x:v>contextual_ellipsis</x:v>
      </x:c>
      <x:c r="G479" s="36" t="str">
        <x:v>challenge</x:v>
      </x:c>
      <x:c r="H479" s="36" t="str">
        <x:v>困难</x:v>
      </x:c>
      <x:c r="I479" s="36" t="str">
        <x:v>3a7c8185-25c1-4941-bd7b-96e823c9f21f|51719eea-10bc-4246-a428-ac7c433dd4b3</x:v>
      </x:c>
      <x:c r="J479" s="36" t="str">
        <x:v>CTX_3a7c8185-25c1-4941-bd7b-96e823c9f21f|CTX_51719eea-10bc-4246-a428-ac7c433dd4b3</x:v>
      </x:c>
      <x:c r="K479" s="36" t="str"/>
      <x:c r="L479" s="36" t="str">
        <x:v>MTM_3a7c8185-25c1-4941-bd7b-96e823c9f21f|STM_51719eea-10bc-4246-a428-ac7c433dd4b3</x:v>
      </x:c>
      <x:c r="M479" s="36" t="str"/>
      <x:c r="N479" s="36" t="str">
        <x:v>工作流程</x:v>
      </x:c>
      <x:c r="O479" s="36" t="str">
        <x:v>中期|短期</x:v>
      </x:c>
      <x:c r="P479" s="36" t="str">
        <x:v>["libreoffice_calc"]</x:v>
      </x:c>
      <x:c r="Q479" s="36" t="str">
        <x:v>[]</x:v>
      </x:c>
      <x:c r="R479" s="36" t="str">
        <x:v>[]</x:v>
      </x:c>
      <x:c r="S479" s="36" t="str"/>
      <x:c r="T479" s="36" t="str">
        <x:v>BoomerangSales.xlsx</x:v>
      </x:c>
      <x:c r="U479" s="36" t="str">
        <x:v>ask_clarification</x:v>
      </x:c>
      <x:c r="V479" s="36" t="str">
        <x:v>[{"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x:v>
      </x:c>
      <x:c r="W479" s="36" t="str">
        <x:v>1.00</x:v>
      </x:c>
      <x:c r="X479" s="39" t="str">
        <x:v>销售明细已经打开了，还是照旧分析。</x:v>
      </x:c>
      <x:c r="Y479" s="39" t="str">
        <x:v>不适用：当前题目在用户完成澄清前没有唯一的必需记忆。</x:v>
      </x:c>
      <x:c r="Z479"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79" s="39" t="str">
        <x:v>不适用：当前题目没有指定需要排除的冲突或禁止记忆。</x:v>
      </x:c>
      <x:c r="AB479" s="39" t="str">
        <x:v>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C479" s="39" t="str">
        <x:v>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79" s="39" t="str">
        <x:v>用户的完整请求是：“销售明细已经打开了，还是照旧分析。”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E47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79" s="50" t="str">
        <x:v>not_pass</x:v>
      </x:c>
      <x:c r="AG479" s="50" t="n">
        <x:v>0</x:v>
      </x:c>
    </x:row>
    <x:row r="480" ht="202.5" customHeight="1">
      <x:c r="A480" s="35" t="str">
        <x:v>V3_AQ04_Q04</x:v>
      </x:c>
      <x:c r="B480" s="36" t="str">
        <x:v>SG_CLARIFY_AQ04</x:v>
      </x:c>
      <x:c r="C480" s="36" t="str">
        <x:v>AQ04</x:v>
      </x:c>
      <x:c r="D480" s="36" t="str">
        <x:v>BoomerangSales 分析不明确</x:v>
      </x:c>
      <x:c r="E480" s="36" t="str">
        <x:v>clarification_required</x:v>
      </x:c>
      <x:c r="F480" s="36" t="str">
        <x:v>low_overlap_paraphrase</x:v>
      </x:c>
      <x:c r="G480" s="36" t="str">
        <x:v>challenge</x:v>
      </x:c>
      <x:c r="H480" s="36" t="str">
        <x:v>困难</x:v>
      </x:c>
      <x:c r="I480" s="36" t="str">
        <x:v>3a7c8185-25c1-4941-bd7b-96e823c9f21f|51719eea-10bc-4246-a428-ac7c433dd4b3</x:v>
      </x:c>
      <x:c r="J480" s="36" t="str">
        <x:v>CTX_3a7c8185-25c1-4941-bd7b-96e823c9f21f|CTX_51719eea-10bc-4246-a428-ac7c433dd4b3</x:v>
      </x:c>
      <x:c r="K480" s="36" t="str"/>
      <x:c r="L480" s="36" t="str">
        <x:v>MTM_3a7c8185-25c1-4941-bd7b-96e823c9f21f|STM_51719eea-10bc-4246-a428-ac7c433dd4b3</x:v>
      </x:c>
      <x:c r="M480" s="36" t="str"/>
      <x:c r="N480" s="36" t="str">
        <x:v>工作流程</x:v>
      </x:c>
      <x:c r="O480" s="36" t="str">
        <x:v>中期|短期</x:v>
      </x:c>
      <x:c r="P480" s="36" t="str">
        <x:v>["libreoffice_calc"]</x:v>
      </x:c>
      <x:c r="Q480" s="36" t="str">
        <x:v>[]</x:v>
      </x:c>
      <x:c r="R480" s="36" t="str">
        <x:v>[]</x:v>
      </x:c>
      <x:c r="S480" s="36" t="str"/>
      <x:c r="T480" s="36" t="str">
        <x:v>BoomerangSales.xlsx</x:v>
      </x:c>
      <x:c r="U480" s="36" t="str">
        <x:v>ask_clarification</x:v>
      </x:c>
      <x:c r="V480" s="36" t="str">
        <x:v>[{"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x:v>
      </x:c>
      <x:c r="W480" s="36" t="str">
        <x:v>1.00</x:v>
      </x:c>
      <x:c r="X480" s="39" t="str">
        <x:v>把 BoomerangSales 的结果按以前的方式补出来。</x:v>
      </x:c>
      <x:c r="Y480" s="39" t="str">
        <x:v>不适用：当前题目在用户完成澄清前没有唯一的必需记忆。</x:v>
      </x:c>
      <x:c r="Z480"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0" s="39" t="str">
        <x:v>不适用：当前题目没有指定需要排除的冲突或禁止记忆。</x:v>
      </x:c>
      <x:c r="AB480" s="39" t="str">
        <x:v>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C480" s="39" t="str">
        <x:v>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0" s="39" t="str">
        <x:v>用户的完整请求是：“把 BoomerangSales 的结果按以前的方式补出来。”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E48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0" s="50" t="str">
        <x:v>not_pass</x:v>
      </x:c>
      <x:c r="AG480" s="50" t="n">
        <x:v>0</x:v>
      </x:c>
    </x:row>
    <x:row r="481" ht="202.5" customHeight="1">
      <x:c r="A481" s="35" t="str">
        <x:v>V3_AQ04_Q05</x:v>
      </x:c>
      <x:c r="B481" s="36" t="str">
        <x:v>SG_CLARIFY_AQ04</x:v>
      </x:c>
      <x:c r="C481" s="36" t="str">
        <x:v>AQ04</x:v>
      </x:c>
      <x:c r="D481" s="36" t="str">
        <x:v>BoomerangSales 分析不明确</x:v>
      </x:c>
      <x:c r="E481" s="36" t="str">
        <x:v>clarification_required</x:v>
      </x:c>
      <x:c r="F481" s="36" t="str">
        <x:v>human_constraint_emphasis</x:v>
      </x:c>
      <x:c r="G481" s="36" t="str">
        <x:v>challenge</x:v>
      </x:c>
      <x:c r="H481" s="36" t="str">
        <x:v>困难</x:v>
      </x:c>
      <x:c r="I481" s="36" t="str">
        <x:v>3a7c8185-25c1-4941-bd7b-96e823c9f21f|51719eea-10bc-4246-a428-ac7c433dd4b3</x:v>
      </x:c>
      <x:c r="J481" s="36" t="str">
        <x:v>CTX_3a7c8185-25c1-4941-bd7b-96e823c9f21f|CTX_51719eea-10bc-4246-a428-ac7c433dd4b3</x:v>
      </x:c>
      <x:c r="K481" s="36" t="str"/>
      <x:c r="L481" s="36" t="str">
        <x:v>MTM_3a7c8185-25c1-4941-bd7b-96e823c9f21f|STM_51719eea-10bc-4246-a428-ac7c433dd4b3</x:v>
      </x:c>
      <x:c r="M481" s="36" t="str"/>
      <x:c r="N481" s="36" t="str">
        <x:v>工作流程</x:v>
      </x:c>
      <x:c r="O481" s="36" t="str">
        <x:v>中期|短期</x:v>
      </x:c>
      <x:c r="P481" s="36" t="str">
        <x:v>["libreoffice_calc"]</x:v>
      </x:c>
      <x:c r="Q481" s="36" t="str">
        <x:v>[]</x:v>
      </x:c>
      <x:c r="R481" s="36" t="str">
        <x:v>[]</x:v>
      </x:c>
      <x:c r="S481" s="36" t="str"/>
      <x:c r="T481" s="36" t="str">
        <x:v>BoomerangSales.xlsx</x:v>
      </x:c>
      <x:c r="U481" s="36" t="str">
        <x:v>ask_clarification</x:v>
      </x:c>
      <x:c r="V481" s="36" t="str">
        <x:v>[{"point_id":"P1","description":"识别当前信息不足以唯一确定历史方案，不直接执行","weight":0.5,"evidence_memory_ids":["MTM_3a7c8185-25c1-4941-bd7b-96e823c9f21f","STM_51719eea-10bc-4246-a428-ac7c433dd4b3"]},{"point_id":"P2","description":"提出能够区分现有候选方案的澄清问题","weight":0.4,"evidence_memory_ids":["MTM_3a7c8185-25c1-4941-bd7b-96e823c9f21f","STM_51719eea-10bc-4246-a428-ac7c433dd4b3"]},{"point_id":"P3","description":"澄清前不擅自选择任一候选记忆","weight":0.1,"evidence_memory_ids":["MTM_3a7c8185-25c1-4941-bd7b-96e823c9f21f","STM_51719eea-10bc-4246-a428-ac7c433dd4b3"]}]</x:v>
      </x:c>
      <x:c r="W481" s="36" t="str">
        <x:v>1.00</x:v>
      </x:c>
      <x:c r="X481" s="39" t="str">
        <x:v>这张回旋镖销售记录按之前交付的版本做。</x:v>
      </x:c>
      <x:c r="Y481" s="39" t="str">
        <x:v>不适用：当前题目在用户完成澄清前没有唯一的必需记忆。</x:v>
      </x:c>
      <x:c r="Z481" s="39" t="str">
        <x:v>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1" s="39" t="str">
        <x:v>不适用：当前题目没有指定需要排除的冲突或禁止记忆。</x:v>
      </x:c>
      <x:c r="AB481" s="39" t="str">
        <x:v>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C481" s="39" t="str">
        <x:v>当前阶段不执行文件修改、数据处理、格式调整或结果导出。实际操作应当是先向用户完整列出并区分以下候选方案：1）在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1" s="39" t="str">
        <x:v>用户的完整请求是：“这张回旋镖销售记录按之前交付的版本做。” 第1个当前上下文：BoomerangSales.xlsx 已在 LibreOffice Calc 中打开。 当前请求只表达了“继续以前的做法”或“按之前方式处理”这类概括性目标，没有说明具体要得到哪一种结果。历史中同时存在以下完整候选记忆：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BoomerangSales.xlsx 中先按 A 列升序排列数据，再创建折线图，以 Date Time 为横轴、quantity 为纵轴；2）在 BoomerangSales.xlsx 中依据 Retail Price 表的产品价格，并结合数量和折扣计算 Revenue 新列；随后在 Sheet2 创建按产品汇总收入的数据透视表。在用户明确选择前，不应擅自执行其中任何一个方案。”</x:v>
      </x:c>
      <x:c r="AE48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第1条记忆（中期/工作流程）：在 BoomerangSales.xlsx 中先按 A 列升序排列数据，再创建折线图，以 Date Time 为横轴、quantity 为纵轴。关键约束：必须先排序再作图；A 列升序；横轴 Date Time，纵轴 quantity。
第2条记忆（短期/工作流程）：在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1" s="50" t="str">
        <x:v>not_pass</x:v>
      </x:c>
      <x:c r="AG481" s="50" t="n">
        <x:v>0</x:v>
      </x:c>
    </x:row>
    <x:row r="482" ht="351" customHeight="1">
      <x:c r="A482" s="35" t="str">
        <x:v>V3_AQ05_Q01</x:v>
      </x:c>
      <x:c r="B482" s="36" t="str">
        <x:v>SG_CLARIFY_AQ05</x:v>
      </x:c>
      <x:c r="C482" s="36" t="str">
        <x:v>AQ05</x:v>
      </x:c>
      <x:c r="D482" s="36" t="str">
        <x:v>数据透视表目标不明确</x:v>
      </x:c>
      <x:c r="E482" s="36" t="str">
        <x:v>clarification_required</x:v>
      </x:c>
      <x:c r="F482" s="36" t="str">
        <x:v>human_context_explicit</x:v>
      </x:c>
      <x:c r="G482" s="36" t="str">
        <x:v>challenge</x:v>
      </x:c>
      <x:c r="H482" s="36" t="str">
        <x:v>困难</x:v>
      </x:c>
      <x:c r="I482" s="36" t="str">
        <x:v>1954cced-e748-45c4-9c26-9855b97fbc5e|1de60575-bb6e-4c3d-9e6a-2fa699f9f197|535364ea-05bd-46ea-9937-9f55c68507e8|30e3e107-1cfb-46ee-a755-2cd080d7ba6a|51719eea-10bc-4246-a428-ac7c433dd4b3</x:v>
      </x:c>
      <x:c r="J482" s="36" t="str">
        <x:v>CTX_1954cced-e748-45c4-9c26-9855b97fbc5e|CTX_1de60575-bb6e-4c3d-9e6a-2fa699f9f197|CTX_535364ea-05bd-46ea-9937-9f55c68507e8|CTX_30e3e107-1cfb-46ee-a755-2cd080d7ba6a|CTX_51719eea-10bc-4246-a428-ac7c433dd4b3</x:v>
      </x:c>
      <x:c r="K482" s="36" t="str"/>
      <x:c r="L482" s="36" t="str">
        <x:v>MTM_1954cced-e748-45c4-9c26-9855b97fbc5e|STM_1de60575-bb6e-4c3d-9e6a-2fa699f9f197|LTM_535364ea-05bd-46ea-9937-9f55c68507e8|STM_30e3e107-1cfb-46ee-a755-2cd080d7ba6a|STM_51719eea-10bc-4246-a428-ac7c433dd4b3</x:v>
      </x:c>
      <x:c r="M482" s="36" t="str"/>
      <x:c r="N482" s="36" t="str">
        <x:v>可复用模板|工作流程</x:v>
      </x:c>
      <x:c r="O482" s="36" t="str">
        <x:v>中期|短期|长期</x:v>
      </x:c>
      <x:c r="P482" s="36" t="str">
        <x:v>["libreoffice_calc"]</x:v>
      </x:c>
      <x:c r="Q482" s="36" t="str">
        <x:v>[]</x:v>
      </x:c>
      <x:c r="R482" s="36" t="str">
        <x:v>[]</x:v>
      </x:c>
      <x:c r="S482" s="36" t="str"/>
      <x:c r="T482" s="36" t="str">
        <x:v>Invoices.xlsx|EntireSummerSales.xlsx|SummerSales.xlsx|DemographicProfile.xlsx|BoomerangSales.xlsx</x:v>
      </x:c>
      <x:c r="U482" s="36" t="str">
        <x:v>ask_clarification</x:v>
      </x:c>
      <x:c r="V482" s="36" t="str">
        <x:v>[{"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x:v>
      </x:c>
      <x:c r="W482" s="36" t="str">
        <x:v>1.00</x:v>
      </x:c>
      <x:c r="X482" s="39" t="str">
        <x:v>这份明细还是在 Sheet2 做之前那张透视表。</x:v>
      </x:c>
      <x:c r="Y482" s="39" t="str">
        <x:v>不适用：当前题目在用户完成澄清前没有唯一的必需记忆。</x:v>
      </x:c>
      <x:c r="Z482"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2" s="39" t="str">
        <x:v>不适用：当前题目没有指定需要排除的冲突或禁止记忆。</x:v>
      </x:c>
      <x:c r="AB482" s="39" t="str">
        <x:v>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C482" s="39" t="str">
        <x:v>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2" s="39" t="str">
        <x:v>用户的完整请求是：“这份明细还是在 Sheet2 做之前那张透视表。”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E48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2" s="50" t="str">
        <x:v>not_pass</x:v>
      </x:c>
      <x:c r="AG482" s="50" t="n">
        <x:v>0</x:v>
      </x:c>
    </x:row>
    <x:row r="483" ht="351" customHeight="1">
      <x:c r="A483" s="35" t="str">
        <x:v>V3_AQ05_Q02</x:v>
      </x:c>
      <x:c r="B483" s="36" t="str">
        <x:v>SG_CLARIFY_AQ05</x:v>
      </x:c>
      <x:c r="C483" s="36" t="str">
        <x:v>AQ05</x:v>
      </x:c>
      <x:c r="D483" s="36" t="str">
        <x:v>数据透视表目标不明确</x:v>
      </x:c>
      <x:c r="E483" s="36" t="str">
        <x:v>clarification_required</x:v>
      </x:c>
      <x:c r="F483" s="36" t="str">
        <x:v>human_goal_oriented</x:v>
      </x:c>
      <x:c r="G483" s="36" t="str">
        <x:v>challenge</x:v>
      </x:c>
      <x:c r="H483" s="36" t="str">
        <x:v>困难</x:v>
      </x:c>
      <x:c r="I483" s="36" t="str">
        <x:v>1954cced-e748-45c4-9c26-9855b97fbc5e|1de60575-bb6e-4c3d-9e6a-2fa699f9f197|535364ea-05bd-46ea-9937-9f55c68507e8|30e3e107-1cfb-46ee-a755-2cd080d7ba6a|51719eea-10bc-4246-a428-ac7c433dd4b3</x:v>
      </x:c>
      <x:c r="J483" s="36" t="str">
        <x:v>CTX_1954cced-e748-45c4-9c26-9855b97fbc5e|CTX_1de60575-bb6e-4c3d-9e6a-2fa699f9f197|CTX_535364ea-05bd-46ea-9937-9f55c68507e8|CTX_30e3e107-1cfb-46ee-a755-2cd080d7ba6a|CTX_51719eea-10bc-4246-a428-ac7c433dd4b3</x:v>
      </x:c>
      <x:c r="K483" s="36" t="str"/>
      <x:c r="L483" s="36" t="str">
        <x:v>MTM_1954cced-e748-45c4-9c26-9855b97fbc5e|STM_1de60575-bb6e-4c3d-9e6a-2fa699f9f197|LTM_535364ea-05bd-46ea-9937-9f55c68507e8|STM_30e3e107-1cfb-46ee-a755-2cd080d7ba6a|STM_51719eea-10bc-4246-a428-ac7c433dd4b3</x:v>
      </x:c>
      <x:c r="M483" s="36" t="str"/>
      <x:c r="N483" s="36" t="str">
        <x:v>可复用模板|工作流程</x:v>
      </x:c>
      <x:c r="O483" s="36" t="str">
        <x:v>中期|短期|长期</x:v>
      </x:c>
      <x:c r="P483" s="36" t="str">
        <x:v>["libreoffice_calc"]</x:v>
      </x:c>
      <x:c r="Q483" s="36" t="str">
        <x:v>[]</x:v>
      </x:c>
      <x:c r="R483" s="36" t="str">
        <x:v>[]</x:v>
      </x:c>
      <x:c r="S483" s="36" t="str"/>
      <x:c r="T483" s="36" t="str">
        <x:v>Invoices.xlsx|EntireSummerSales.xlsx|SummerSales.xlsx|DemographicProfile.xlsx|BoomerangSales.xlsx</x:v>
      </x:c>
      <x:c r="U483" s="36" t="str">
        <x:v>ask_clarification</x:v>
      </x:c>
      <x:c r="V483" s="36" t="str">
        <x:v>[{"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x:v>
      </x:c>
      <x:c r="W483" s="36" t="str">
        <x:v>1.00</x:v>
      </x:c>
      <x:c r="X483" s="39" t="str">
        <x:v>数据透视表按上次的口径再做一遍。</x:v>
      </x:c>
      <x:c r="Y483" s="39" t="str">
        <x:v>不适用：当前题目在用户完成澄清前没有唯一的必需记忆。</x:v>
      </x:c>
      <x:c r="Z483"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3" s="39" t="str">
        <x:v>不适用：当前题目没有指定需要排除的冲突或禁止记忆。</x:v>
      </x:c>
      <x:c r="AB483" s="39" t="str">
        <x:v>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C483" s="39" t="str">
        <x:v>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3" s="39" t="str">
        <x:v>用户的完整请求是：“数据透视表按上次的口径再做一遍。”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E48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3" s="50" t="str">
        <x:v>not_pass</x:v>
      </x:c>
      <x:c r="AG483" s="50" t="n">
        <x:v>0</x:v>
      </x:c>
    </x:row>
    <x:row r="484" ht="351" customHeight="1">
      <x:c r="A484" s="35" t="str">
        <x:v>V3_AQ05_Q03</x:v>
      </x:c>
      <x:c r="B484" s="36" t="str">
        <x:v>SG_CLARIFY_AQ05</x:v>
      </x:c>
      <x:c r="C484" s="36" t="str">
        <x:v>AQ05</x:v>
      </x:c>
      <x:c r="D484" s="36" t="str">
        <x:v>数据透视表目标不明确</x:v>
      </x:c>
      <x:c r="E484" s="36" t="str">
        <x:v>clarification_required</x:v>
      </x:c>
      <x:c r="F484" s="36" t="str">
        <x:v>contextual_ellipsis</x:v>
      </x:c>
      <x:c r="G484" s="36" t="str">
        <x:v>challenge</x:v>
      </x:c>
      <x:c r="H484" s="36" t="str">
        <x:v>困难</x:v>
      </x:c>
      <x:c r="I484" s="36" t="str">
        <x:v>1954cced-e748-45c4-9c26-9855b97fbc5e|1de60575-bb6e-4c3d-9e6a-2fa699f9f197|535364ea-05bd-46ea-9937-9f55c68507e8|30e3e107-1cfb-46ee-a755-2cd080d7ba6a|51719eea-10bc-4246-a428-ac7c433dd4b3</x:v>
      </x:c>
      <x:c r="J484" s="36" t="str">
        <x:v>CTX_1954cced-e748-45c4-9c26-9855b97fbc5e|CTX_1de60575-bb6e-4c3d-9e6a-2fa699f9f197|CTX_535364ea-05bd-46ea-9937-9f55c68507e8|CTX_30e3e107-1cfb-46ee-a755-2cd080d7ba6a|CTX_51719eea-10bc-4246-a428-ac7c433dd4b3</x:v>
      </x:c>
      <x:c r="K484" s="36" t="str"/>
      <x:c r="L484" s="36" t="str">
        <x:v>MTM_1954cced-e748-45c4-9c26-9855b97fbc5e|STM_1de60575-bb6e-4c3d-9e6a-2fa699f9f197|LTM_535364ea-05bd-46ea-9937-9f55c68507e8|STM_30e3e107-1cfb-46ee-a755-2cd080d7ba6a|STM_51719eea-10bc-4246-a428-ac7c433dd4b3</x:v>
      </x:c>
      <x:c r="M484" s="36" t="str"/>
      <x:c r="N484" s="36" t="str">
        <x:v>可复用模板|工作流程</x:v>
      </x:c>
      <x:c r="O484" s="36" t="str">
        <x:v>中期|短期|长期</x:v>
      </x:c>
      <x:c r="P484" s="36" t="str">
        <x:v>["libreoffice_calc"]</x:v>
      </x:c>
      <x:c r="Q484" s="36" t="str">
        <x:v>[]</x:v>
      </x:c>
      <x:c r="R484" s="36" t="str">
        <x:v>[]</x:v>
      </x:c>
      <x:c r="S484" s="36" t="str"/>
      <x:c r="T484" s="36" t="str">
        <x:v>Invoices.xlsx|EntireSummerSales.xlsx|SummerSales.xlsx|DemographicProfile.xlsx|BoomerangSales.xlsx</x:v>
      </x:c>
      <x:c r="U484" s="36" t="str">
        <x:v>ask_clarification</x:v>
      </x:c>
      <x:c r="V484" s="36" t="str">
        <x:v>[{"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x:v>
      </x:c>
      <x:c r="W484" s="36" t="str">
        <x:v>1.00</x:v>
      </x:c>
      <x:c r="X484" s="39" t="str">
        <x:v>我已经把明细打开了，第二张表照旧汇总。</x:v>
      </x:c>
      <x:c r="Y484" s="39" t="str">
        <x:v>不适用：当前题目在用户完成澄清前没有唯一的必需记忆。</x:v>
      </x:c>
      <x:c r="Z484"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4" s="39" t="str">
        <x:v>不适用：当前题目没有指定需要排除的冲突或禁止记忆。</x:v>
      </x:c>
      <x:c r="AB484" s="39" t="str">
        <x:v>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C484" s="39" t="str">
        <x:v>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4" s="39" t="str">
        <x:v>用户的完整请求是：“我已经把明细打开了，第二张表照旧汇总。”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E48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4" s="50" t="str">
        <x:v>not_pass</x:v>
      </x:c>
      <x:c r="AG484" s="50" t="n">
        <x:v>0</x:v>
      </x:c>
    </x:row>
    <x:row r="485" ht="351" customHeight="1">
      <x:c r="A485" s="35" t="str">
        <x:v>V3_AQ05_Q04</x:v>
      </x:c>
      <x:c r="B485" s="36" t="str">
        <x:v>SG_CLARIFY_AQ05</x:v>
      </x:c>
      <x:c r="C485" s="36" t="str">
        <x:v>AQ05</x:v>
      </x:c>
      <x:c r="D485" s="36" t="str">
        <x:v>数据透视表目标不明确</x:v>
      </x:c>
      <x:c r="E485" s="36" t="str">
        <x:v>clarification_required</x:v>
      </x:c>
      <x:c r="F485" s="36" t="str">
        <x:v>low_overlap_paraphrase</x:v>
      </x:c>
      <x:c r="G485" s="36" t="str">
        <x:v>challenge</x:v>
      </x:c>
      <x:c r="H485" s="36" t="str">
        <x:v>困难</x:v>
      </x:c>
      <x:c r="I485" s="36" t="str">
        <x:v>1954cced-e748-45c4-9c26-9855b97fbc5e|1de60575-bb6e-4c3d-9e6a-2fa699f9f197|535364ea-05bd-46ea-9937-9f55c68507e8|30e3e107-1cfb-46ee-a755-2cd080d7ba6a|51719eea-10bc-4246-a428-ac7c433dd4b3</x:v>
      </x:c>
      <x:c r="J485" s="36" t="str">
        <x:v>CTX_1954cced-e748-45c4-9c26-9855b97fbc5e|CTX_1de60575-bb6e-4c3d-9e6a-2fa699f9f197|CTX_535364ea-05bd-46ea-9937-9f55c68507e8|CTX_30e3e107-1cfb-46ee-a755-2cd080d7ba6a|CTX_51719eea-10bc-4246-a428-ac7c433dd4b3</x:v>
      </x:c>
      <x:c r="K485" s="36" t="str"/>
      <x:c r="L485" s="36" t="str">
        <x:v>MTM_1954cced-e748-45c4-9c26-9855b97fbc5e|STM_1de60575-bb6e-4c3d-9e6a-2fa699f9f197|LTM_535364ea-05bd-46ea-9937-9f55c68507e8|STM_30e3e107-1cfb-46ee-a755-2cd080d7ba6a|STM_51719eea-10bc-4246-a428-ac7c433dd4b3</x:v>
      </x:c>
      <x:c r="M485" s="36" t="str"/>
      <x:c r="N485" s="36" t="str">
        <x:v>可复用模板|工作流程</x:v>
      </x:c>
      <x:c r="O485" s="36" t="str">
        <x:v>中期|短期|长期</x:v>
      </x:c>
      <x:c r="P485" s="36" t="str">
        <x:v>["libreoffice_calc"]</x:v>
      </x:c>
      <x:c r="Q485" s="36" t="str">
        <x:v>[]</x:v>
      </x:c>
      <x:c r="R485" s="36" t="str">
        <x:v>[]</x:v>
      </x:c>
      <x:c r="S485" s="36" t="str"/>
      <x:c r="T485" s="36" t="str">
        <x:v>Invoices.xlsx|EntireSummerSales.xlsx|SummerSales.xlsx|DemographicProfile.xlsx|BoomerangSales.xlsx</x:v>
      </x:c>
      <x:c r="U485" s="36" t="str">
        <x:v>ask_clarification</x:v>
      </x:c>
      <x:c r="V485" s="36" t="str">
        <x:v>[{"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x:v>
      </x:c>
      <x:c r="W485" s="36" t="str">
        <x:v>1.00</x:v>
      </x:c>
      <x:c r="X485" s="39" t="str">
        <x:v>这批记录继续用以前的透视方式整理。</x:v>
      </x:c>
      <x:c r="Y485" s="39" t="str">
        <x:v>不适用：当前题目在用户完成澄清前没有唯一的必需记忆。</x:v>
      </x:c>
      <x:c r="Z485"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5" s="39" t="str">
        <x:v>不适用：当前题目没有指定需要排除的冲突或禁止记忆。</x:v>
      </x:c>
      <x:c r="AB485" s="39" t="str">
        <x:v>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C485" s="39" t="str">
        <x:v>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5" s="39" t="str">
        <x:v>用户的完整请求是：“这批记录继续用以前的透视方式整理。”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E48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5" s="50" t="str">
        <x:v>not_pass</x:v>
      </x:c>
      <x:c r="AG485" s="50" t="n">
        <x:v>0</x:v>
      </x:c>
    </x:row>
    <x:row r="486" ht="351" customHeight="1">
      <x:c r="A486" s="35" t="str">
        <x:v>V3_AQ05_Q05</x:v>
      </x:c>
      <x:c r="B486" s="36" t="str">
        <x:v>SG_CLARIFY_AQ05</x:v>
      </x:c>
      <x:c r="C486" s="36" t="str">
        <x:v>AQ05</x:v>
      </x:c>
      <x:c r="D486" s="36" t="str">
        <x:v>数据透视表目标不明确</x:v>
      </x:c>
      <x:c r="E486" s="36" t="str">
        <x:v>clarification_required</x:v>
      </x:c>
      <x:c r="F486" s="36" t="str">
        <x:v>human_constraint_emphasis</x:v>
      </x:c>
      <x:c r="G486" s="36" t="str">
        <x:v>challenge</x:v>
      </x:c>
      <x:c r="H486" s="36" t="str">
        <x:v>困难</x:v>
      </x:c>
      <x:c r="I486" s="36" t="str">
        <x:v>1954cced-e748-45c4-9c26-9855b97fbc5e|1de60575-bb6e-4c3d-9e6a-2fa699f9f197|535364ea-05bd-46ea-9937-9f55c68507e8|30e3e107-1cfb-46ee-a755-2cd080d7ba6a|51719eea-10bc-4246-a428-ac7c433dd4b3</x:v>
      </x:c>
      <x:c r="J486" s="36" t="str">
        <x:v>CTX_1954cced-e748-45c4-9c26-9855b97fbc5e|CTX_1de60575-bb6e-4c3d-9e6a-2fa699f9f197|CTX_535364ea-05bd-46ea-9937-9f55c68507e8|CTX_30e3e107-1cfb-46ee-a755-2cd080d7ba6a|CTX_51719eea-10bc-4246-a428-ac7c433dd4b3</x:v>
      </x:c>
      <x:c r="K486" s="36" t="str"/>
      <x:c r="L486" s="36" t="str">
        <x:v>MTM_1954cced-e748-45c4-9c26-9855b97fbc5e|STM_1de60575-bb6e-4c3d-9e6a-2fa699f9f197|LTM_535364ea-05bd-46ea-9937-9f55c68507e8|STM_30e3e107-1cfb-46ee-a755-2cd080d7ba6a|STM_51719eea-10bc-4246-a428-ac7c433dd4b3</x:v>
      </x:c>
      <x:c r="M486" s="36" t="str"/>
      <x:c r="N486" s="36" t="str">
        <x:v>可复用模板|工作流程</x:v>
      </x:c>
      <x:c r="O486" s="36" t="str">
        <x:v>中期|短期|长期</x:v>
      </x:c>
      <x:c r="P486" s="36" t="str">
        <x:v>["libreoffice_calc"]</x:v>
      </x:c>
      <x:c r="Q486" s="36" t="str">
        <x:v>[]</x:v>
      </x:c>
      <x:c r="R486" s="36" t="str">
        <x:v>[]</x:v>
      </x:c>
      <x:c r="S486" s="36" t="str"/>
      <x:c r="T486" s="36" t="str">
        <x:v>Invoices.xlsx|EntireSummerSales.xlsx|SummerSales.xlsx|DemographicProfile.xlsx|BoomerangSales.xlsx</x:v>
      </x:c>
      <x:c r="U486" s="36" t="str">
        <x:v>ask_clarification</x:v>
      </x:c>
      <x:c r="V486" s="36" t="str">
        <x:v>[{"point_id":"P1","description":"识别当前信息不足以唯一确定历史方案，不直接执行","weight":0.5,"evidence_memory_ids":["MTM_1954cced-e748-45c4-9c26-9855b97fbc5e","STM_1de60575-bb6e-4c3d-9e6a-2fa699f9f197","LTM_535364ea-05bd-46ea-9937-9f55c68507e8","STM_30e3e107-1cfb-46ee-a755-2cd080d7ba6a","STM_51719eea-10bc-4246-a428-ac7c433dd4b3"]},{"point_id":"P2","description":"提出能够区分现有候选方案的澄清问题","weight":0.4,"evidence_memory_ids":["MTM_1954cced-e748-45c4-9c26-9855b97fbc5e","STM_1de60575-bb6e-4c3d-9e6a-2fa699f9f197","LTM_535364ea-05bd-46ea-9937-9f55c68507e8","STM_30e3e107-1cfb-46ee-a755-2cd080d7ba6a","STM_51719eea-10bc-4246-a428-ac7c433dd4b3"]},{"point_id":"P3","description":"澄清前不擅自选择任一候选记忆","weight":0.1,"evidence_memory_ids":["MTM_1954cced-e748-45c4-9c26-9855b97fbc5e","STM_1de60575-bb6e-4c3d-9e6a-2fa699f9f197","LTM_535364ea-05bd-46ea-9937-9f55c68507e8","STM_30e3e107-1cfb-46ee-a755-2cd080d7ba6a","STM_51719eea-10bc-4246-a428-ac7c433dd4b3"]}]</x:v>
      </x:c>
      <x:c r="W486" s="36" t="str">
        <x:v>1.00</x:v>
      </x:c>
      <x:c r="X486" s="39" t="str">
        <x:v>帮我把之前做过的那张汇总透视表补出来。</x:v>
      </x:c>
      <x:c r="Y486" s="39" t="str">
        <x:v>不适用：当前题目在用户完成澄清前没有唯一的必需记忆。</x:v>
      </x:c>
      <x:c r="Z486" s="39" t="str">
        <x:v>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x:v>
      </x:c>
      <x:c r="AA486" s="39" t="str">
        <x:v>不适用：当前题目没有指定需要排除的冲突或禁止记忆。</x:v>
      </x:c>
      <x:c r="AB486" s="39" t="str">
        <x:v>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C486" s="39" t="str">
        <x:v>当前阶段不执行文件修改、数据处理、格式调整或结果导出。实际操作应当是先向用户完整列出并区分以下候选方案：1）在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创建按产品汇总收入的数据透视表。只有在用户明确说明目标文件、工作表、范围、输出形式或具体方案后，才按照用户选定的对应记忆执行。</x:v>
      </x:c>
      <x:c r="AD486" s="39" t="str">
        <x:v>用户的完整请求是：“帮我把之前做过的那张汇总透视表补出来。” 第1个当前上下文：Invoices.xlsx 已在 LibreOffice Calc 中打开。 第2个当前上下文：EntireSummerSales.xlsx 已在 LibreOffice Calc 中打开。 第3个当前上下文：SummerSales.xlsx 已在 LibreOffice Calc 中打开。 第4个当前上下文：DemographicProfile.xlsx 已在 LibreOffice Calc 中打开。 第5个当前上下文：BoomerangSales.xlsx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Invoices.xlsx 新建 Sheet2，通过数据透视表统计每个 Invoice No. 出现的次数；2）在 EntireSummerSales.xlsx 新建 Sheet2，用数据透视表汇总每种 promotion type 的总 revenue，并将促销名称作为列标题；3）在 SummerSales.xlsx 新建 Sheet2，创建两张数据透视表，分别汇总每种产品的总收入和每个销售渠道的总收入；4）在 DemographicProfile.xlsx 新建 Sheet2，合并 A1:C1 写入 Demographic Profile，设置蓝色填充和白色粗体；随后依次创建 Sex、Civil Status、Highest Educational Attainment 三张百分比数据透视表，表间留一空行；5）在 BoomerangSales.xlsx 中依据 Retail Price 表的产品价格，并结合数量和折扣计算 Revenue 新列；随后在 Sheet2 创建按产品汇总收入的数据透视表。在用户明确选择前，不应擅自执行其中任何一个方案。”</x:v>
      </x:c>
      <x:c r="AE48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第2个得分点（0.40分）：提出能够区分现有候选方案的澄清问题。该得分点所依据的完整证据为：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第3个得分点（0.10分）：澄清前不擅自选择任一候选记忆。该得分点所依据的完整证据为：
第1条记忆（中期/可复用模板）：在 Invoices.xlsx 新建 Sheet2，通过数据透视表统计每个 Invoice No. 出现的次数。关键约束：使用数据透视表；目标为 Sheet2；按 Invoice No. 分组计数。
第2条记忆（短期/工作流程）：在 EntireSummerSales.xlsx 新建 Sheet2，用数据透视表汇总每种 promotion type 的总 revenue，并将促销名称作为列标题。关键约束：使用数据透视表；促销名称作为列标题；结果放入 Sheet2。
第3条记忆（长期/可复用模板）：在 SummerSales.xlsx 新建 Sheet2，创建两张数据透视表，分别汇总每种产品的总收入和每个销售渠道的总收入。关键约束：必须有两张透视表；分别按产品和销售渠道汇总；目标为 Sheet2。
第4条记忆（短期/工作流程）：在 DemographicProfile.xlsx 新建 Sheet2，合并 A1:C1 写入 Demographic Profile，设置蓝色填充和白色粗体；随后依次创建 Sex、Civil Status、Highest Educational Attainment 三张百分比数据透视表，表间留一空行。关键约束：标题格式为蓝底白色粗体；三张透视表按指定顺序纵向排列；每表间隔一空行。
第5条记忆（短期/工作流程）：在 BoomerangSales.xlsx 中依据 Retail Price 表的产品价格，并结合数量和折扣计算 Revenue 新列；随后在 Sheet2 创建按产品汇总收入的数据透视表。关键约束：收入同时考虑价格、数量和折扣；透视表按产品汇总；结果放 Sheet2。
人工复审时，应依据模型最终给出的信息和实际操作是否满足上述每个得分点分别给分；只命中记忆 ID 但没有形成对应结论不能获得该结论分，形成了正确结论但表达方式不同则不应扣分。</x:v>
      </x:c>
      <x:c r="AF486" s="50" t="str">
        <x:v>not_pass</x:v>
      </x:c>
      <x:c r="AG486" s="50" t="n">
        <x:v>0</x:v>
      </x:c>
    </x:row>
    <x:row r="487" ht="337.5" customHeight="1">
      <x:c r="A487" s="35" t="str">
        <x:v>V3_AQ06_Q01</x:v>
      </x:c>
      <x:c r="B487" s="36" t="str">
        <x:v>SG_CLARIFY_AQ06</x:v>
      </x:c>
      <x:c r="C487" s="36" t="str">
        <x:v>AQ06</x:v>
      </x:c>
      <x:c r="D487" s="36" t="str">
        <x:v>图表类型与指标不明确</x:v>
      </x:c>
      <x:c r="E487" s="36" t="str">
        <x:v>clarification_required</x:v>
      </x:c>
      <x:c r="F487" s="36" t="str">
        <x:v>human_context_explicit</x:v>
      </x:c>
      <x:c r="G487" s="36" t="str">
        <x:v>challenge</x:v>
      </x:c>
      <x:c r="H487" s="36" t="str">
        <x:v>困难</x:v>
      </x:c>
      <x:c r="I487" s="36" t="str">
        <x:v>0326d92d-d218-48a8-9ca1-981cd6d064c7|0a2e43bf-b26c-4631-a966-af9dfa12c9e5|12382c62-0cd1-4bf2-bdc8-1d20bf9b2371|347ef137-7eeb-4c80-a3bb-0951f26a8aff|3a7c8185-25c1-4941-bd7b-96e823c9f21f</x:v>
      </x:c>
      <x:c r="J487" s="36" t="str">
        <x:v>CTX_0326d92d-d218-48a8-9ca1-981cd6d064c7|CTX_0a2e43bf-b26c-4631-a966-af9dfa12c9e5|CTX_12382c62-0cd1-4bf2-bdc8-1d20bf9b2371|CTX_347ef137-7eeb-4c80-a3bb-0951f26a8aff|CTX_3a7c8185-25c1-4941-bd7b-96e823c9f21f</x:v>
      </x:c>
      <x:c r="K487" s="36" t="str"/>
      <x:c r="L487" s="36" t="str">
        <x:v>MTM_0326d92d-d218-48a8-9ca1-981cd6d064c7|MTM_0a2e43bf-b26c-4631-a966-af9dfa12c9e5|MTM_12382c62-0cd1-4bf2-bdc8-1d20bf9b2371|MTM_347ef137-7eeb-4c80-a3bb-0951f26a8aff|MTM_3a7c8185-25c1-4941-bd7b-96e823c9f21f</x:v>
      </x:c>
      <x:c r="M487" s="36" t="str"/>
      <x:c r="N487" s="36" t="str">
        <x:v>可复用模板|工作流程</x:v>
      </x:c>
      <x:c r="O487" s="36" t="str">
        <x:v>中期</x:v>
      </x:c>
      <x:c r="P487" s="36" t="str">
        <x:v>["libreoffice_calc"]</x:v>
      </x:c>
      <x:c r="Q487" s="36" t="str">
        <x:v>[]</x:v>
      </x:c>
      <x:c r="R487" s="36" t="str">
        <x:v>[]</x:v>
      </x:c>
      <x:c r="S487" s="36" t="str"/>
      <x:c r="T487" s="36" t="str">
        <x:v>SalesRep.xlsx|WeeklySales.xlsx|Create_column_charts_using_statistics.xlsx|BoomerangSales.xlsx</x:v>
      </x:c>
      <x:c r="U487" s="36" t="str">
        <x:v>ask_clarification</x:v>
      </x:c>
      <x:c r="V487" s="36" t="str">
        <x:v>[{"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x:v>
      </x:c>
      <x:c r="W487" s="36" t="str">
        <x:v>1.00</x:v>
      </x:c>
      <x:c r="X487" s="39" t="str">
        <x:v>这份表还是按之前的方式做图。</x:v>
      </x:c>
      <x:c r="Y487" s="39" t="str">
        <x:v>不适用：当前题目在用户完成澄清前没有唯一的必需记忆。</x:v>
      </x:c>
      <x:c r="Z487"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x:v>
      </x:c>
      <x:c r="AA487" s="39" t="str">
        <x:v>不适用：当前题目没有指定需要排除的冲突或禁止记忆。</x:v>
      </x:c>
      <x:c r="AB487"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C487"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x:v>
      </x:c>
      <x:c r="AD487" s="39" t="str">
        <x:v>用户的完整请求是：“这份表还是按之前的方式做图。”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E48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87" s="50" t="str">
        <x:v>not_pass</x:v>
      </x:c>
      <x:c r="AG487" s="50" t="n">
        <x:v>0</x:v>
      </x:c>
    </x:row>
    <x:row r="488" ht="337.5" customHeight="1">
      <x:c r="A488" s="35" t="str">
        <x:v>V3_AQ06_Q02</x:v>
      </x:c>
      <x:c r="B488" s="36" t="str">
        <x:v>SG_CLARIFY_AQ06</x:v>
      </x:c>
      <x:c r="C488" s="36" t="str">
        <x:v>AQ06</x:v>
      </x:c>
      <x:c r="D488" s="36" t="str">
        <x:v>图表类型与指标不明确</x:v>
      </x:c>
      <x:c r="E488" s="36" t="str">
        <x:v>clarification_required</x:v>
      </x:c>
      <x:c r="F488" s="36" t="str">
        <x:v>human_goal_oriented</x:v>
      </x:c>
      <x:c r="G488" s="36" t="str">
        <x:v>challenge</x:v>
      </x:c>
      <x:c r="H488" s="36" t="str">
        <x:v>困难</x:v>
      </x:c>
      <x:c r="I488" s="36" t="str">
        <x:v>0326d92d-d218-48a8-9ca1-981cd6d064c7|0a2e43bf-b26c-4631-a966-af9dfa12c9e5|12382c62-0cd1-4bf2-bdc8-1d20bf9b2371|347ef137-7eeb-4c80-a3bb-0951f26a8aff|3a7c8185-25c1-4941-bd7b-96e823c9f21f</x:v>
      </x:c>
      <x:c r="J488" s="36" t="str">
        <x:v>CTX_0326d92d-d218-48a8-9ca1-981cd6d064c7|CTX_0a2e43bf-b26c-4631-a966-af9dfa12c9e5|CTX_12382c62-0cd1-4bf2-bdc8-1d20bf9b2371|CTX_347ef137-7eeb-4c80-a3bb-0951f26a8aff|CTX_3a7c8185-25c1-4941-bd7b-96e823c9f21f</x:v>
      </x:c>
      <x:c r="K488" s="36" t="str"/>
      <x:c r="L488" s="36" t="str">
        <x:v>MTM_0326d92d-d218-48a8-9ca1-981cd6d064c7|MTM_0a2e43bf-b26c-4631-a966-af9dfa12c9e5|MTM_12382c62-0cd1-4bf2-bdc8-1d20bf9b2371|MTM_347ef137-7eeb-4c80-a3bb-0951f26a8aff|MTM_3a7c8185-25c1-4941-bd7b-96e823c9f21f</x:v>
      </x:c>
      <x:c r="M488" s="36" t="str"/>
      <x:c r="N488" s="36" t="str">
        <x:v>可复用模板|工作流程</x:v>
      </x:c>
      <x:c r="O488" s="36" t="str">
        <x:v>中期</x:v>
      </x:c>
      <x:c r="P488" s="36" t="str">
        <x:v>["libreoffice_calc"]</x:v>
      </x:c>
      <x:c r="Q488" s="36" t="str">
        <x:v>[]</x:v>
      </x:c>
      <x:c r="R488" s="36" t="str">
        <x:v>[]</x:v>
      </x:c>
      <x:c r="S488" s="36" t="str"/>
      <x:c r="T488" s="36" t="str">
        <x:v>SalesRep.xlsx|WeeklySales.xlsx|Create_column_charts_using_statistics.xlsx|BoomerangSales.xlsx</x:v>
      </x:c>
      <x:c r="U488" s="36" t="str">
        <x:v>ask_clarification</x:v>
      </x:c>
      <x:c r="V488" s="36" t="str">
        <x:v>[{"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x:v>
      </x:c>
      <x:c r="W488" s="36" t="str">
        <x:v>1.00</x:v>
      </x:c>
      <x:c r="X488" s="39" t="str">
        <x:v>把数据用我们上次的图表版式展示一下。</x:v>
      </x:c>
      <x:c r="Y488" s="39" t="str">
        <x:v>不适用：当前题目在用户完成澄清前没有唯一的必需记忆。</x:v>
      </x:c>
      <x:c r="Z488"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x:v>
      </x:c>
      <x:c r="AA488" s="39" t="str">
        <x:v>不适用：当前题目没有指定需要排除的冲突或禁止记忆。</x:v>
      </x:c>
      <x:c r="AB488"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C488"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x:v>
      </x:c>
      <x:c r="AD488" s="39" t="str">
        <x:v>用户的完整请求是：“把数据用我们上次的图表版式展示一下。”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E48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88" s="50" t="str">
        <x:v>not_pass</x:v>
      </x:c>
      <x:c r="AG488" s="50" t="n">
        <x:v>0</x:v>
      </x:c>
    </x:row>
    <x:row r="489" ht="337.5" customHeight="1">
      <x:c r="A489" s="35" t="str">
        <x:v>V3_AQ06_Q03</x:v>
      </x:c>
      <x:c r="B489" s="36" t="str">
        <x:v>SG_CLARIFY_AQ06</x:v>
      </x:c>
      <x:c r="C489" s="36" t="str">
        <x:v>AQ06</x:v>
      </x:c>
      <x:c r="D489" s="36" t="str">
        <x:v>图表类型与指标不明确</x:v>
      </x:c>
      <x:c r="E489" s="36" t="str">
        <x:v>clarification_required</x:v>
      </x:c>
      <x:c r="F489" s="36" t="str">
        <x:v>contextual_ellipsis</x:v>
      </x:c>
      <x:c r="G489" s="36" t="str">
        <x:v>challenge</x:v>
      </x:c>
      <x:c r="H489" s="36" t="str">
        <x:v>困难</x:v>
      </x:c>
      <x:c r="I489" s="36" t="str">
        <x:v>0326d92d-d218-48a8-9ca1-981cd6d064c7|0a2e43bf-b26c-4631-a966-af9dfa12c9e5|12382c62-0cd1-4bf2-bdc8-1d20bf9b2371|347ef137-7eeb-4c80-a3bb-0951f26a8aff|3a7c8185-25c1-4941-bd7b-96e823c9f21f</x:v>
      </x:c>
      <x:c r="J489" s="36" t="str">
        <x:v>CTX_0326d92d-d218-48a8-9ca1-981cd6d064c7|CTX_0a2e43bf-b26c-4631-a966-af9dfa12c9e5|CTX_12382c62-0cd1-4bf2-bdc8-1d20bf9b2371|CTX_347ef137-7eeb-4c80-a3bb-0951f26a8aff|CTX_3a7c8185-25c1-4941-bd7b-96e823c9f21f</x:v>
      </x:c>
      <x:c r="K489" s="36" t="str"/>
      <x:c r="L489" s="36" t="str">
        <x:v>MTM_0326d92d-d218-48a8-9ca1-981cd6d064c7|MTM_0a2e43bf-b26c-4631-a966-af9dfa12c9e5|MTM_12382c62-0cd1-4bf2-bdc8-1d20bf9b2371|MTM_347ef137-7eeb-4c80-a3bb-0951f26a8aff|MTM_3a7c8185-25c1-4941-bd7b-96e823c9f21f</x:v>
      </x:c>
      <x:c r="M489" s="36" t="str"/>
      <x:c r="N489" s="36" t="str">
        <x:v>可复用模板|工作流程</x:v>
      </x:c>
      <x:c r="O489" s="36" t="str">
        <x:v>中期</x:v>
      </x:c>
      <x:c r="P489" s="36" t="str">
        <x:v>["libreoffice_calc"]</x:v>
      </x:c>
      <x:c r="Q489" s="36" t="str">
        <x:v>[]</x:v>
      </x:c>
      <x:c r="R489" s="36" t="str">
        <x:v>[]</x:v>
      </x:c>
      <x:c r="S489" s="36" t="str"/>
      <x:c r="T489" s="36" t="str">
        <x:v>SalesRep.xlsx|WeeklySales.xlsx|Create_column_charts_using_statistics.xlsx|BoomerangSales.xlsx</x:v>
      </x:c>
      <x:c r="U489" s="36" t="str">
        <x:v>ask_clarification</x:v>
      </x:c>
      <x:c r="V489" s="36" t="str">
        <x:v>[{"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x:v>
      </x:c>
      <x:c r="W489" s="36" t="str">
        <x:v>1.00</x:v>
      </x:c>
      <x:c r="X489" s="39" t="str">
        <x:v>表已经打开了，图表照旧处理。</x:v>
      </x:c>
      <x:c r="Y489" s="39" t="str">
        <x:v>不适用：当前题目在用户完成澄清前没有唯一的必需记忆。</x:v>
      </x:c>
      <x:c r="Z489"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x:v>
      </x:c>
      <x:c r="AA489" s="39" t="str">
        <x:v>不适用：当前题目没有指定需要排除的冲突或禁止记忆。</x:v>
      </x:c>
      <x:c r="AB489"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C489"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x:v>
      </x:c>
      <x:c r="AD489" s="39" t="str">
        <x:v>用户的完整请求是：“表已经打开了，图表照旧处理。”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E48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89" s="50" t="str">
        <x:v>not_pass</x:v>
      </x:c>
      <x:c r="AG489" s="50" t="n">
        <x:v>0</x:v>
      </x:c>
    </x:row>
    <x:row r="490" ht="337.5" customHeight="1">
      <x:c r="A490" s="35" t="str">
        <x:v>V3_AQ06_Q04</x:v>
      </x:c>
      <x:c r="B490" s="36" t="str">
        <x:v>SG_CLARIFY_AQ06</x:v>
      </x:c>
      <x:c r="C490" s="36" t="str">
        <x:v>AQ06</x:v>
      </x:c>
      <x:c r="D490" s="36" t="str">
        <x:v>图表类型与指标不明确</x:v>
      </x:c>
      <x:c r="E490" s="36" t="str">
        <x:v>clarification_required</x:v>
      </x:c>
      <x:c r="F490" s="36" t="str">
        <x:v>low_overlap_paraphrase</x:v>
      </x:c>
      <x:c r="G490" s="36" t="str">
        <x:v>challenge</x:v>
      </x:c>
      <x:c r="H490" s="36" t="str">
        <x:v>困难</x:v>
      </x:c>
      <x:c r="I490" s="36" t="str">
        <x:v>0326d92d-d218-48a8-9ca1-981cd6d064c7|0a2e43bf-b26c-4631-a966-af9dfa12c9e5|12382c62-0cd1-4bf2-bdc8-1d20bf9b2371|347ef137-7eeb-4c80-a3bb-0951f26a8aff|3a7c8185-25c1-4941-bd7b-96e823c9f21f</x:v>
      </x:c>
      <x:c r="J490" s="36" t="str">
        <x:v>CTX_0326d92d-d218-48a8-9ca1-981cd6d064c7|CTX_0a2e43bf-b26c-4631-a966-af9dfa12c9e5|CTX_12382c62-0cd1-4bf2-bdc8-1d20bf9b2371|CTX_347ef137-7eeb-4c80-a3bb-0951f26a8aff|CTX_3a7c8185-25c1-4941-bd7b-96e823c9f21f</x:v>
      </x:c>
      <x:c r="K490" s="36" t="str"/>
      <x:c r="L490" s="36" t="str">
        <x:v>MTM_0326d92d-d218-48a8-9ca1-981cd6d064c7|MTM_0a2e43bf-b26c-4631-a966-af9dfa12c9e5|MTM_12382c62-0cd1-4bf2-bdc8-1d20bf9b2371|MTM_347ef137-7eeb-4c80-a3bb-0951f26a8aff|MTM_3a7c8185-25c1-4941-bd7b-96e823c9f21f</x:v>
      </x:c>
      <x:c r="M490" s="36" t="str"/>
      <x:c r="N490" s="36" t="str">
        <x:v>可复用模板|工作流程</x:v>
      </x:c>
      <x:c r="O490" s="36" t="str">
        <x:v>中期</x:v>
      </x:c>
      <x:c r="P490" s="36" t="str">
        <x:v>["libreoffice_calc"]</x:v>
      </x:c>
      <x:c r="Q490" s="36" t="str">
        <x:v>[]</x:v>
      </x:c>
      <x:c r="R490" s="36" t="str">
        <x:v>[]</x:v>
      </x:c>
      <x:c r="S490" s="36" t="str"/>
      <x:c r="T490" s="36" t="str">
        <x:v>SalesRep.xlsx|WeeklySales.xlsx|Create_column_charts_using_statistics.xlsx|BoomerangSales.xlsx</x:v>
      </x:c>
      <x:c r="U490" s="36" t="str">
        <x:v>ask_clarification</x:v>
      </x:c>
      <x:c r="V490" s="36" t="str">
        <x:v>[{"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x:v>
      </x:c>
      <x:c r="W490" s="36" t="str">
        <x:v>1.00</x:v>
      </x:c>
      <x:c r="X490" s="39" t="str">
        <x:v>我想继续用以前那种图看结果。</x:v>
      </x:c>
      <x:c r="Y490" s="39" t="str">
        <x:v>不适用：当前题目在用户完成澄清前没有唯一的必需记忆。</x:v>
      </x:c>
      <x:c r="Z490"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x:v>
      </x:c>
      <x:c r="AA490" s="39" t="str">
        <x:v>不适用：当前题目没有指定需要排除的冲突或禁止记忆。</x:v>
      </x:c>
      <x:c r="AB490"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C490"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x:v>
      </x:c>
      <x:c r="AD490" s="39" t="str">
        <x:v>用户的完整请求是：“我想继续用以前那种图看结果。”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E49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90" s="50" t="str">
        <x:v>not_pass</x:v>
      </x:c>
      <x:c r="AG490" s="50" t="n">
        <x:v>0</x:v>
      </x:c>
    </x:row>
    <x:row r="491" ht="337.5" customHeight="1">
      <x:c r="A491" s="35" t="str">
        <x:v>V3_AQ06_Q05</x:v>
      </x:c>
      <x:c r="B491" s="36" t="str">
        <x:v>SG_CLARIFY_AQ06</x:v>
      </x:c>
      <x:c r="C491" s="36" t="str">
        <x:v>AQ06</x:v>
      </x:c>
      <x:c r="D491" s="36" t="str">
        <x:v>图表类型与指标不明确</x:v>
      </x:c>
      <x:c r="E491" s="36" t="str">
        <x:v>clarification_required</x:v>
      </x:c>
      <x:c r="F491" s="36" t="str">
        <x:v>human_constraint_emphasis</x:v>
      </x:c>
      <x:c r="G491" s="36" t="str">
        <x:v>challenge</x:v>
      </x:c>
      <x:c r="H491" s="36" t="str">
        <x:v>困难</x:v>
      </x:c>
      <x:c r="I491" s="36" t="str">
        <x:v>0326d92d-d218-48a8-9ca1-981cd6d064c7|0a2e43bf-b26c-4631-a966-af9dfa12c9e5|12382c62-0cd1-4bf2-bdc8-1d20bf9b2371|347ef137-7eeb-4c80-a3bb-0951f26a8aff|3a7c8185-25c1-4941-bd7b-96e823c9f21f</x:v>
      </x:c>
      <x:c r="J491" s="36" t="str">
        <x:v>CTX_0326d92d-d218-48a8-9ca1-981cd6d064c7|CTX_0a2e43bf-b26c-4631-a966-af9dfa12c9e5|CTX_12382c62-0cd1-4bf2-bdc8-1d20bf9b2371|CTX_347ef137-7eeb-4c80-a3bb-0951f26a8aff|CTX_3a7c8185-25c1-4941-bd7b-96e823c9f21f</x:v>
      </x:c>
      <x:c r="K491" s="36" t="str"/>
      <x:c r="L491" s="36" t="str">
        <x:v>MTM_0326d92d-d218-48a8-9ca1-981cd6d064c7|MTM_0a2e43bf-b26c-4631-a966-af9dfa12c9e5|MTM_12382c62-0cd1-4bf2-bdc8-1d20bf9b2371|MTM_347ef137-7eeb-4c80-a3bb-0951f26a8aff|MTM_3a7c8185-25c1-4941-bd7b-96e823c9f21f</x:v>
      </x:c>
      <x:c r="M491" s="36" t="str"/>
      <x:c r="N491" s="36" t="str">
        <x:v>可复用模板|工作流程</x:v>
      </x:c>
      <x:c r="O491" s="36" t="str">
        <x:v>中期</x:v>
      </x:c>
      <x:c r="P491" s="36" t="str">
        <x:v>["libreoffice_calc"]</x:v>
      </x:c>
      <x:c r="Q491" s="36" t="str">
        <x:v>[]</x:v>
      </x:c>
      <x:c r="R491" s="36" t="str">
        <x:v>[]</x:v>
      </x:c>
      <x:c r="S491" s="36" t="str"/>
      <x:c r="T491" s="36" t="str">
        <x:v>SalesRep.xlsx|WeeklySales.xlsx|Create_column_charts_using_statistics.xlsx|BoomerangSales.xlsx</x:v>
      </x:c>
      <x:c r="U491" s="36" t="str">
        <x:v>ask_clarification</x:v>
      </x:c>
      <x:c r="V491" s="36" t="str">
        <x:v>[{"point_id":"P1","description":"识别当前信息不足以唯一确定历史方案，不直接执行","weight":0.5,"evidence_memory_ids":["MTM_0326d92d-d218-48a8-9ca1-981cd6d064c7","MTM_0a2e43bf-b26c-4631-a966-af9dfa12c9e5","MTM_12382c62-0cd1-4bf2-bdc8-1d20bf9b2371","MTM_347ef137-7eeb-4c80-a3bb-0951f26a8aff","MTM_3a7c8185-25c1-4941-bd7b-96e823c9f21f"]},{"point_id":"P2","description":"提出能够区分现有候选方案的澄清问题","weight":0.4,"evidence_memory_ids":["MTM_0326d92d-d218-48a8-9ca1-981cd6d064c7","MTM_0a2e43bf-b26c-4631-a966-af9dfa12c9e5","MTM_12382c62-0cd1-4bf2-bdc8-1d20bf9b2371","MTM_347ef137-7eeb-4c80-a3bb-0951f26a8aff","MTM_3a7c8185-25c1-4941-bd7b-96e823c9f21f"]},{"point_id":"P3","description":"澄清前不擅自选择任一候选记忆","weight":0.1,"evidence_memory_ids":["MTM_0326d92d-d218-48a8-9ca1-981cd6d064c7","MTM_0a2e43bf-b26c-4631-a966-af9dfa12c9e5","MTM_12382c62-0cd1-4bf2-bdc8-1d20bf9b2371","MTM_347ef137-7eeb-4c80-a3bb-0951f26a8aff","MTM_3a7c8185-25c1-4941-bd7b-96e823c9f21f"]}]</x:v>
      </x:c>
      <x:c r="W491" s="36" t="str">
        <x:v>1.00</x:v>
      </x:c>
      <x:c r="X491" s="39" t="str">
        <x:v>按之前交付过的图表方式做就行。</x:v>
      </x:c>
      <x:c r="Y491" s="39" t="str">
        <x:v>不适用：当前题目在用户完成澄清前没有唯一的必需记忆。</x:v>
      </x:c>
      <x:c r="Z491" s="39" t="str">
        <x:v>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x:v>
      </x:c>
      <x:c r="AA491" s="39" t="str">
        <x:v>不适用：当前题目没有指定需要排除的冲突或禁止记忆。</x:v>
      </x:c>
      <x:c r="AB491" s="39" t="str">
        <x:v>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C491" s="39" t="str">
        <x:v>当前阶段不执行文件修改、数据处理、格式调整或结果导出。实际操作应当是先向用户完整列出并区分以下候选方案：1）在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为纵轴。只有在用户明确说明目标文件、工作表、范围、输出形式或具体方案后，才按照用户选定的对应记忆执行。</x:v>
      </x:c>
      <x:c r="AD491" s="39" t="str">
        <x:v>用户的完整请求是：“按之前交付过的图表方式做就行。” 第1个当前上下文：SalesRep.xlsx 已在 LibreOffice Calc 中打开。 第2个当前上下文：WeeklySales.xlsx 已在 LibreOffice Calc 中打开。 第3个当前上下文：Create_column_charts_using_statistics.xlsx 已在 LibreOffice Calc 中打开。 第4个当前上下文：BoomerangSales.xlsx 已在 LibreOffice Calc 中打开。 当前请求只表达了“继续以前的做法”或“按之前方式处理”这类概括性目标，没有说明具体要得到哪一种结果。历史中同时存在以下完整候选记忆：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SalesRep.xlsx 下方新增 Total 行计算各月销售总额并制作柱状图，再新增 Growth 行计算 2 月至 6 月环比增长率并制作折线图；增长图不包含 1 月，两个图标题分别使用对应行名；2）在 SalesRep.xlsx 新增 Total 行计算每个月的总销售额，并以月份为横轴创建一张展示月度总额的折线图；3）在 WeeklySales.xlsx 新建 Sheet2，为每周的 Sales 和 COGS 数据创建簇状柱形图，图表标题设为 Sales &amp; COGS；4）在 Create_column_charts_using_statistics.xlsx 中分别汇总 2019 年和 2020 年每个月的总成本，并为两个年份各创建一张柱形图；5）在 BoomerangSales.xlsx 中先按 A 列升序排列数据，再创建折线图，以 Date Time 为横轴、quantity 为纵轴。在用户明确选择前，不应擅自执行其中任何一个方案。”</x:v>
      </x:c>
      <x:c r="AE49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第2个得分点（0.40分）：提出能够区分现有候选方案的澄清问题。该得分点所依据的完整证据为：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第3个得分点（0.10分）：澄清前不擅自选择任一候选记忆。该得分点所依据的完整证据为：
第1条记忆（中期/可复用模板）：在 SalesRep.xlsx 下方新增 Total 行计算各月销售总额并制作柱状图，再新增 Growth 行计算 2 月至 6 月环比增长率并制作折线图；增长图不包含 1 月，两个图标题分别使用对应行名。关键约束：增长计算从 2 月开始；1 月不得出现在增长折线图；图标题使用 Total 和 Growth。
第2条记忆（中期/可复用模板）：在 SalesRep.xlsx 新增 Total 行计算每个月的总销售额，并以月份为横轴创建一张展示月度总额的折线图。关键约束：只制作月度总额折线图；横轴使用月份；不添加环比增长图。
第3条记忆（中期/可复用模板）：在 WeeklySales.xlsx 新建 Sheet2，为每周的 Sales 和 COGS 数据创建簇状柱形图，图表标题设为 Sales &amp; COGS。关键约束：图表放在 Sheet2；图表类型为簇状柱形图；标题必须为 Sales &amp; COGS。
第4条记忆（中期/可复用模板）：在 Create_column_charts_using_statistics.xlsx 中分别汇总 2019 年和 2020 年每个月的总成本，并为两个年份各创建一张柱形图。关键约束：2019 和 2020 分别成图；每张图展示各月总成本；不得合并成一张图。
第5条记忆（中期/工作流程）：在 BoomerangSales.xlsx 中先按 A 列升序排列数据，再创建折线图，以 Date Time 为横轴、quantity 为纵轴。关键约束：必须先排序再作图；A 列升序；横轴 Date Time，纵轴 quantity。
人工复审时，应依据模型最终给出的信息和实际操作是否满足上述每个得分点分别给分；只命中记忆 ID 但没有形成对应结论不能获得该结论分，形成了正确结论但表达方式不同则不应扣分。</x:v>
      </x:c>
      <x:c r="AF491" s="50" t="str">
        <x:v>not_pass</x:v>
      </x:c>
      <x:c r="AG491" s="50" t="n">
        <x:v>0</x:v>
      </x:c>
    </x:row>
    <x:row r="492" ht="297" customHeight="1">
      <x:c r="A492" s="35" t="str">
        <x:v>V3_AQ07_Q01</x:v>
      </x:c>
      <x:c r="B492" s="36" t="str">
        <x:v>SG_CLARIFY_AQ07</x:v>
      </x:c>
      <x:c r="C492" s="36" t="str">
        <x:v>AQ07</x:v>
      </x:c>
      <x:c r="D492" s="36" t="str">
        <x:v>数字显示规则不明确</x:v>
      </x:c>
      <x:c r="E492" s="36" t="str">
        <x:v>clarification_required</x:v>
      </x:c>
      <x:c r="F492" s="36" t="str">
        <x:v>human_context_explicit</x:v>
      </x:c>
      <x:c r="G492" s="36" t="str">
        <x:v>challenge</x:v>
      </x:c>
      <x:c r="H492" s="36" t="str">
        <x:v>困难</x:v>
      </x:c>
      <x:c r="I492" s="36" t="str">
        <x:v>21df9241-f8d7-4509-b7f1-37e501a823f7|6e99a1ad-07d2-4b66-a1ce-ece6d99c20a5|4f07fbe9-70de-4927-a4d5-bb28bc12c52c|a01fbce3-2793-461f-ab86-43680ccbae25</x:v>
      </x:c>
      <x:c r="J492" s="36" t="str">
        <x:v>CTX_21df9241-f8d7-4509-b7f1-37e501a823f7|CTX_6e99a1ad-07d2-4b66-a1ce-ece6d99c20a5|CTX_4f07fbe9-70de-4927-a4d5-bb28bc12c52c|CTX_a01fbce3-2793-461f-ab86-43680ccbae25</x:v>
      </x:c>
      <x:c r="K492" s="36" t="str"/>
      <x:c r="L492" s="36" t="str">
        <x:v>STM_21df9241-f8d7-4509-b7f1-37e501a823f7|MTM_6e99a1ad-07d2-4b66-a1ce-ece6d99c20a5|LTM_4f07fbe9-70de-4927-a4d5-bb28bc12c52c|STM_a01fbce3-2793-461f-ab86-43680ccbae25</x:v>
      </x:c>
      <x:c r="M492" s="36" t="str"/>
      <x:c r="N492" s="36" t="str">
        <x:v>工作流程|可复用模板|知识</x:v>
      </x:c>
      <x:c r="O492" s="36" t="str">
        <x:v>短期|中期|长期</x:v>
      </x:c>
      <x:c r="P492" s="36" t="str">
        <x:v>["libreoffice_calc"]</x:v>
      </x:c>
      <x:c r="Q492" s="36" t="str">
        <x:v>[]</x:v>
      </x:c>
      <x:c r="R492" s="36" t="str">
        <x:v>[]</x:v>
      </x:c>
      <x:c r="S492" s="36" t="str"/>
      <x:c r="T492" s="36" t="str">
        <x:v>Represent_in_millions_billions.xlsx|Keep_Two_decimal_points.xlsx|Padding_Decimals_In_Formular.xlsx|Set_Decimal_Separator_Dot.xlsx</x:v>
      </x:c>
      <x:c r="U492" s="36" t="str">
        <x:v>ask_clarification</x:v>
      </x:c>
      <x:c r="V492" s="36" t="str">
        <x:v>[{"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x:v>
      </x:c>
      <x:c r="W492" s="36" t="str">
        <x:v>1.00</x:v>
      </x:c>
      <x:c r="X492" s="39" t="str">
        <x:v>这张表的数字显示还是按之前的格式统一一下。</x:v>
      </x:c>
      <x:c r="Y492" s="39" t="str">
        <x:v>不适用：当前题目在用户完成澄清前没有唯一的必需记忆。</x:v>
      </x:c>
      <x:c r="Z492"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A492" s="39" t="str">
        <x:v>不适用：当前题目没有指定需要排除的冲突或禁止记忆。</x:v>
      </x:c>
      <x:c r="AB492" s="39" t="str">
        <x:v>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C492" s="39" t="str">
        <x:v>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x:v>
      </x:c>
      <x:c r="AD492" s="39" t="str">
        <x:v>用户的完整请求是：“这张表的数字显示还是按之前的格式统一一下。”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E49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92" s="50" t="str">
        <x:v>not_pass</x:v>
      </x:c>
      <x:c r="AG492" s="50" t="n">
        <x:v>0</x:v>
      </x:c>
    </x:row>
    <x:row r="493" ht="297" customHeight="1">
      <x:c r="A493" s="35" t="str">
        <x:v>V3_AQ07_Q02</x:v>
      </x:c>
      <x:c r="B493" s="36" t="str">
        <x:v>SG_CLARIFY_AQ07</x:v>
      </x:c>
      <x:c r="C493" s="36" t="str">
        <x:v>AQ07</x:v>
      </x:c>
      <x:c r="D493" s="36" t="str">
        <x:v>数字显示规则不明确</x:v>
      </x:c>
      <x:c r="E493" s="36" t="str">
        <x:v>clarification_required</x:v>
      </x:c>
      <x:c r="F493" s="36" t="str">
        <x:v>human_goal_oriented</x:v>
      </x:c>
      <x:c r="G493" s="36" t="str">
        <x:v>challenge</x:v>
      </x:c>
      <x:c r="H493" s="36" t="str">
        <x:v>困难</x:v>
      </x:c>
      <x:c r="I493" s="36" t="str">
        <x:v>21df9241-f8d7-4509-b7f1-37e501a823f7|6e99a1ad-07d2-4b66-a1ce-ece6d99c20a5|4f07fbe9-70de-4927-a4d5-bb28bc12c52c|a01fbce3-2793-461f-ab86-43680ccbae25</x:v>
      </x:c>
      <x:c r="J493" s="36" t="str">
        <x:v>CTX_21df9241-f8d7-4509-b7f1-37e501a823f7|CTX_6e99a1ad-07d2-4b66-a1ce-ece6d99c20a5|CTX_4f07fbe9-70de-4927-a4d5-bb28bc12c52c|CTX_a01fbce3-2793-461f-ab86-43680ccbae25</x:v>
      </x:c>
      <x:c r="K493" s="36" t="str"/>
      <x:c r="L493" s="36" t="str">
        <x:v>STM_21df9241-f8d7-4509-b7f1-37e501a823f7|MTM_6e99a1ad-07d2-4b66-a1ce-ece6d99c20a5|LTM_4f07fbe9-70de-4927-a4d5-bb28bc12c52c|STM_a01fbce3-2793-461f-ab86-43680ccbae25</x:v>
      </x:c>
      <x:c r="M493" s="36" t="str"/>
      <x:c r="N493" s="36" t="str">
        <x:v>工作流程|可复用模板|知识</x:v>
      </x:c>
      <x:c r="O493" s="36" t="str">
        <x:v>短期|中期|长期</x:v>
      </x:c>
      <x:c r="P493" s="36" t="str">
        <x:v>["libreoffice_calc"]</x:v>
      </x:c>
      <x:c r="Q493" s="36" t="str">
        <x:v>[]</x:v>
      </x:c>
      <x:c r="R493" s="36" t="str">
        <x:v>[]</x:v>
      </x:c>
      <x:c r="S493" s="36" t="str"/>
      <x:c r="T493" s="36" t="str">
        <x:v>Represent_in_millions_billions.xlsx|Keep_Two_decimal_points.xlsx|Padding_Decimals_In_Formular.xlsx|Set_Decimal_Separator_Dot.xlsx</x:v>
      </x:c>
      <x:c r="U493" s="36" t="str">
        <x:v>ask_clarification</x:v>
      </x:c>
      <x:c r="V493" s="36" t="str">
        <x:v>[{"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x:v>
      </x:c>
      <x:c r="W493" s="36" t="str">
        <x:v>1.00</x:v>
      </x:c>
      <x:c r="X493" s="39" t="str">
        <x:v>小数和单位照我们以前的规则处理。</x:v>
      </x:c>
      <x:c r="Y493" s="39" t="str">
        <x:v>不适用：当前题目在用户完成澄清前没有唯一的必需记忆。</x:v>
      </x:c>
      <x:c r="Z493"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A493" s="39" t="str">
        <x:v>不适用：当前题目没有指定需要排除的冲突或禁止记忆。</x:v>
      </x:c>
      <x:c r="AB493" s="39" t="str">
        <x:v>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C493" s="39" t="str">
        <x:v>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x:v>
      </x:c>
      <x:c r="AD493" s="39" t="str">
        <x:v>用户的完整请求是：“小数和单位照我们以前的规则处理。”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E49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93" s="50" t="str">
        <x:v>not_pass</x:v>
      </x:c>
      <x:c r="AG493" s="50" t="n">
        <x:v>0</x:v>
      </x:c>
    </x:row>
    <x:row r="494" ht="297" customHeight="1">
      <x:c r="A494" s="35" t="str">
        <x:v>V3_AQ07_Q03</x:v>
      </x:c>
      <x:c r="B494" s="36" t="str">
        <x:v>SG_CLARIFY_AQ07</x:v>
      </x:c>
      <x:c r="C494" s="36" t="str">
        <x:v>AQ07</x:v>
      </x:c>
      <x:c r="D494" s="36" t="str">
        <x:v>数字显示规则不明确</x:v>
      </x:c>
      <x:c r="E494" s="36" t="str">
        <x:v>clarification_required</x:v>
      </x:c>
      <x:c r="F494" s="36" t="str">
        <x:v>contextual_ellipsis</x:v>
      </x:c>
      <x:c r="G494" s="36" t="str">
        <x:v>challenge</x:v>
      </x:c>
      <x:c r="H494" s="36" t="str">
        <x:v>困难</x:v>
      </x:c>
      <x:c r="I494" s="36" t="str">
        <x:v>21df9241-f8d7-4509-b7f1-37e501a823f7|6e99a1ad-07d2-4b66-a1ce-ece6d99c20a5|4f07fbe9-70de-4927-a4d5-bb28bc12c52c|a01fbce3-2793-461f-ab86-43680ccbae25</x:v>
      </x:c>
      <x:c r="J494" s="36" t="str">
        <x:v>CTX_21df9241-f8d7-4509-b7f1-37e501a823f7|CTX_6e99a1ad-07d2-4b66-a1ce-ece6d99c20a5|CTX_4f07fbe9-70de-4927-a4d5-bb28bc12c52c|CTX_a01fbce3-2793-461f-ab86-43680ccbae25</x:v>
      </x:c>
      <x:c r="K494" s="36" t="str"/>
      <x:c r="L494" s="36" t="str">
        <x:v>STM_21df9241-f8d7-4509-b7f1-37e501a823f7|MTM_6e99a1ad-07d2-4b66-a1ce-ece6d99c20a5|LTM_4f07fbe9-70de-4927-a4d5-bb28bc12c52c|STM_a01fbce3-2793-461f-ab86-43680ccbae25</x:v>
      </x:c>
      <x:c r="M494" s="36" t="str"/>
      <x:c r="N494" s="36" t="str">
        <x:v>工作流程|可复用模板|知识</x:v>
      </x:c>
      <x:c r="O494" s="36" t="str">
        <x:v>短期|中期|长期</x:v>
      </x:c>
      <x:c r="P494" s="36" t="str">
        <x:v>["libreoffice_calc"]</x:v>
      </x:c>
      <x:c r="Q494" s="36" t="str">
        <x:v>[]</x:v>
      </x:c>
      <x:c r="R494" s="36" t="str">
        <x:v>[]</x:v>
      </x:c>
      <x:c r="S494" s="36" t="str"/>
      <x:c r="T494" s="36" t="str">
        <x:v>Represent_in_millions_billions.xlsx|Keep_Two_decimal_points.xlsx|Padding_Decimals_In_Formular.xlsx|Set_Decimal_Separator_Dot.xlsx</x:v>
      </x:c>
      <x:c r="U494" s="36" t="str">
        <x:v>ask_clarification</x:v>
      </x:c>
      <x:c r="V494" s="36" t="str">
        <x:v>[{"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x:v>
      </x:c>
      <x:c r="W494" s="36" t="str">
        <x:v>1.00</x:v>
      </x:c>
      <x:c r="X494" s="39" t="str">
        <x:v>我已经打开这份数值表了，格式按旧版来。</x:v>
      </x:c>
      <x:c r="Y494" s="39" t="str">
        <x:v>不适用：当前题目在用户完成澄清前没有唯一的必需记忆。</x:v>
      </x:c>
      <x:c r="Z494"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A494" s="39" t="str">
        <x:v>不适用：当前题目没有指定需要排除的冲突或禁止记忆。</x:v>
      </x:c>
      <x:c r="AB494" s="39" t="str">
        <x:v>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C494" s="39" t="str">
        <x:v>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x:v>
      </x:c>
      <x:c r="AD494" s="39" t="str">
        <x:v>用户的完整请求是：“我已经打开这份数值表了，格式按旧版来。”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E49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94" s="50" t="str">
        <x:v>not_pass</x:v>
      </x:c>
      <x:c r="AG494" s="50" t="n">
        <x:v>0</x:v>
      </x:c>
    </x:row>
    <x:row r="495" ht="297" customHeight="1">
      <x:c r="A495" s="35" t="str">
        <x:v>V3_AQ07_Q04</x:v>
      </x:c>
      <x:c r="B495" s="36" t="str">
        <x:v>SG_CLARIFY_AQ07</x:v>
      </x:c>
      <x:c r="C495" s="36" t="str">
        <x:v>AQ07</x:v>
      </x:c>
      <x:c r="D495" s="36" t="str">
        <x:v>数字显示规则不明确</x:v>
      </x:c>
      <x:c r="E495" s="36" t="str">
        <x:v>clarification_required</x:v>
      </x:c>
      <x:c r="F495" s="36" t="str">
        <x:v>low_overlap_paraphrase</x:v>
      </x:c>
      <x:c r="G495" s="36" t="str">
        <x:v>challenge</x:v>
      </x:c>
      <x:c r="H495" s="36" t="str">
        <x:v>困难</x:v>
      </x:c>
      <x:c r="I495" s="36" t="str">
        <x:v>21df9241-f8d7-4509-b7f1-37e501a823f7|6e99a1ad-07d2-4b66-a1ce-ece6d99c20a5|4f07fbe9-70de-4927-a4d5-bb28bc12c52c|a01fbce3-2793-461f-ab86-43680ccbae25</x:v>
      </x:c>
      <x:c r="J495" s="36" t="str">
        <x:v>CTX_21df9241-f8d7-4509-b7f1-37e501a823f7|CTX_6e99a1ad-07d2-4b66-a1ce-ece6d99c20a5|CTX_4f07fbe9-70de-4927-a4d5-bb28bc12c52c|CTX_a01fbce3-2793-461f-ab86-43680ccbae25</x:v>
      </x:c>
      <x:c r="K495" s="36" t="str"/>
      <x:c r="L495" s="36" t="str">
        <x:v>STM_21df9241-f8d7-4509-b7f1-37e501a823f7|MTM_6e99a1ad-07d2-4b66-a1ce-ece6d99c20a5|LTM_4f07fbe9-70de-4927-a4d5-bb28bc12c52c|STM_a01fbce3-2793-461f-ab86-43680ccbae25</x:v>
      </x:c>
      <x:c r="M495" s="36" t="str"/>
      <x:c r="N495" s="36" t="str">
        <x:v>工作流程|可复用模板|知识</x:v>
      </x:c>
      <x:c r="O495" s="36" t="str">
        <x:v>短期|中期|长期</x:v>
      </x:c>
      <x:c r="P495" s="36" t="str">
        <x:v>["libreoffice_calc"]</x:v>
      </x:c>
      <x:c r="Q495" s="36" t="str">
        <x:v>[]</x:v>
      </x:c>
      <x:c r="R495" s="36" t="str">
        <x:v>[]</x:v>
      </x:c>
      <x:c r="S495" s="36" t="str"/>
      <x:c r="T495" s="36" t="str">
        <x:v>Represent_in_millions_billions.xlsx|Keep_Two_decimal_points.xlsx|Padding_Decimals_In_Formular.xlsx|Set_Decimal_Separator_Dot.xlsx</x:v>
      </x:c>
      <x:c r="U495" s="36" t="str">
        <x:v>ask_clarification</x:v>
      </x:c>
      <x:c r="V495" s="36" t="str">
        <x:v>[{"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x:v>
      </x:c>
      <x:c r="W495" s="36" t="str">
        <x:v>1.00</x:v>
      </x:c>
      <x:c r="X495" s="39" t="str">
        <x:v>把这些数字整理成之前交付的显示方式。</x:v>
      </x:c>
      <x:c r="Y495" s="39" t="str">
        <x:v>不适用：当前题目在用户完成澄清前没有唯一的必需记忆。</x:v>
      </x:c>
      <x:c r="Z495"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A495" s="39" t="str">
        <x:v>不适用：当前题目没有指定需要排除的冲突或禁止记忆。</x:v>
      </x:c>
      <x:c r="AB495" s="39" t="str">
        <x:v>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C495" s="39" t="str">
        <x:v>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x:v>
      </x:c>
      <x:c r="AD495" s="39" t="str">
        <x:v>用户的完整请求是：“把这些数字整理成之前交付的显示方式。”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E49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95" s="50" t="str">
        <x:v>not_pass</x:v>
      </x:c>
      <x:c r="AG495" s="50" t="n">
        <x:v>0</x:v>
      </x:c>
    </x:row>
    <x:row r="496" ht="297" customHeight="1">
      <x:c r="A496" s="35" t="str">
        <x:v>V3_AQ07_Q05</x:v>
      </x:c>
      <x:c r="B496" s="36" t="str">
        <x:v>SG_CLARIFY_AQ07</x:v>
      </x:c>
      <x:c r="C496" s="36" t="str">
        <x:v>AQ07</x:v>
      </x:c>
      <x:c r="D496" s="36" t="str">
        <x:v>数字显示规则不明确</x:v>
      </x:c>
      <x:c r="E496" s="36" t="str">
        <x:v>clarification_required</x:v>
      </x:c>
      <x:c r="F496" s="36" t="str">
        <x:v>human_constraint_emphasis</x:v>
      </x:c>
      <x:c r="G496" s="36" t="str">
        <x:v>challenge</x:v>
      </x:c>
      <x:c r="H496" s="36" t="str">
        <x:v>困难</x:v>
      </x:c>
      <x:c r="I496" s="36" t="str">
        <x:v>21df9241-f8d7-4509-b7f1-37e501a823f7|6e99a1ad-07d2-4b66-a1ce-ece6d99c20a5|4f07fbe9-70de-4927-a4d5-bb28bc12c52c|a01fbce3-2793-461f-ab86-43680ccbae25</x:v>
      </x:c>
      <x:c r="J496" s="36" t="str">
        <x:v>CTX_21df9241-f8d7-4509-b7f1-37e501a823f7|CTX_6e99a1ad-07d2-4b66-a1ce-ece6d99c20a5|CTX_4f07fbe9-70de-4927-a4d5-bb28bc12c52c|CTX_a01fbce3-2793-461f-ab86-43680ccbae25</x:v>
      </x:c>
      <x:c r="K496" s="36" t="str"/>
      <x:c r="L496" s="36" t="str">
        <x:v>STM_21df9241-f8d7-4509-b7f1-37e501a823f7|MTM_6e99a1ad-07d2-4b66-a1ce-ece6d99c20a5|LTM_4f07fbe9-70de-4927-a4d5-bb28bc12c52c|STM_a01fbce3-2793-461f-ab86-43680ccbae25</x:v>
      </x:c>
      <x:c r="M496" s="36" t="str"/>
      <x:c r="N496" s="36" t="str">
        <x:v>工作流程|可复用模板|知识</x:v>
      </x:c>
      <x:c r="O496" s="36" t="str">
        <x:v>短期|中期|长期</x:v>
      </x:c>
      <x:c r="P496" s="36" t="str">
        <x:v>["libreoffice_calc"]</x:v>
      </x:c>
      <x:c r="Q496" s="36" t="str">
        <x:v>[]</x:v>
      </x:c>
      <x:c r="R496" s="36" t="str">
        <x:v>[]</x:v>
      </x:c>
      <x:c r="S496" s="36" t="str"/>
      <x:c r="T496" s="36" t="str">
        <x:v>Represent_in_millions_billions.xlsx|Keep_Two_decimal_points.xlsx|Padding_Decimals_In_Formular.xlsx|Set_Decimal_Separator_Dot.xlsx</x:v>
      </x:c>
      <x:c r="U496" s="36" t="str">
        <x:v>ask_clarification</x:v>
      </x:c>
      <x:c r="V496" s="36" t="str">
        <x:v>[{"point_id":"P1","description":"识别当前信息不足以唯一确定历史方案，不直接执行","weight":0.5,"evidence_memory_ids":["STM_21df9241-f8d7-4509-b7f1-37e501a823f7","MTM_6e99a1ad-07d2-4b66-a1ce-ece6d99c20a5","LTM_4f07fbe9-70de-4927-a4d5-bb28bc12c52c","STM_a01fbce3-2793-461f-ab86-43680ccbae25"]},{"point_id":"P2","description":"提出能够区分现有候选方案的澄清问题","weight":0.4,"evidence_memory_ids":["STM_21df9241-f8d7-4509-b7f1-37e501a823f7","MTM_6e99a1ad-07d2-4b66-a1ce-ece6d99c20a5","LTM_4f07fbe9-70de-4927-a4d5-bb28bc12c52c","STM_a01fbce3-2793-461f-ab86-43680ccbae25"]},{"point_id":"P3","description":"澄清前不擅自选择任一候选记忆","weight":0.1,"evidence_memory_ids":["STM_21df9241-f8d7-4509-b7f1-37e501a823f7","MTM_6e99a1ad-07d2-4b66-a1ce-ece6d99c20a5","LTM_4f07fbe9-70de-4927-a4d5-bb28bc12c52c","STM_a01fbce3-2793-461f-ab86-43680ccbae25"]}]</x:v>
      </x:c>
      <x:c r="W496" s="36" t="str">
        <x:v>1.00</x:v>
      </x:c>
      <x:c r="X496" s="39" t="str">
        <x:v>这次数值格式继续沿用上次的设置。</x:v>
      </x:c>
      <x:c r="Y496" s="39" t="str">
        <x:v>不适用：当前题目在用户完成澄清前没有唯一的必需记忆。</x:v>
      </x:c>
      <x:c r="Z496" s="39" t="str">
        <x:v>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x:v>
      </x:c>
      <x:c r="AA496" s="39" t="str">
        <x:v>不适用：当前题目没有指定需要排除的冲突或禁止记忆。</x:v>
      </x:c>
      <x:c r="AB496" s="39" t="str">
        <x:v>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C496" s="39" t="str">
        <x:v>当前阶段不执行文件修改、数据处理、格式调整或结果导出。实际操作应当是先向用户完整列出并区分以下候选方案：1）在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中把整张表数值的小数分隔符显示为逗号，同时保持各个小数的实际数值和精度不变。只有在用户明确说明目标文件、工作表、范围、输出形式或具体方案后，才按照用户选定的对应记忆执行。</x:v>
      </x:c>
      <x:c r="AD496" s="39" t="str">
        <x:v>用户的完整请求是：“这次数值格式继续沿用上次的设置。” 第1个当前上下文：Represent_in_millions_billions.xlsx 已在 LibreOffice Calc 中打开。 第2个当前上下文：Keep_Two_decimal_points.xlsx 已在 LibreOffice Calc 中打开。 第3个当前上下文：Padding_Decimals_In_Formular.xlsx 已在 LibreOffice Calc 中打开。 第4个当前上下文：Set_Decimal_Separator_Dot.xlsx 已在 LibreOffice Calc 中打开。 当前请求只表达了“继续以前的做法”或“按之前方式处理”这类概括性目标，没有说明具体要得到哪一种结果。历史中同时存在以下完整候选记忆：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Represent_in_millions_billions.xlsx 中，将 Parameter 数值分别在 B 列显示为 Millions (M)、在 C 列显示为 Billions (B)，保留一位小数并按四舍五入规则处理，数字与单位之间留一个空格；2）在 Keep_Two_decimal_points.xlsx 中把 spent 列的显示格式统一设置为保留两位小数；3）在 Padding_Decimals_In_Formular.xlsx 中处理文本公式里的数值显示，使嵌入文本的数字也固定保留两位小数，而不是只修改原数值单元格的显示格式；4）在 Set_Decimal_Separator_Dot.xlsx 中把整张表数值的小数分隔符显示为逗号，同时保持各个小数的实际数值和精度不变。在用户明确选择前，不应擅自执行其中任何一个方案。”</x:v>
      </x:c>
      <x:c r="AE49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第2个得分点（0.40分）：提出能够区分现有候选方案的澄清问题。该得分点所依据的完整证据为：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第3个得分点（0.10分）：澄清前不擅自选择任一候选记忆。该得分点所依据的完整证据为：
第1条记忆（短期/工作流程）：在 Represent_in_millions_billions.xlsx 中，将 Parameter 数值分别在 B 列显示为 Millions (M)、在 C 列显示为 Billions (B)，保留一位小数并按四舍五入规则处理，数字与单位之间留一个空格。关键约束：B 列使用 M、C 列使用 B；保留一位小数；数字与单位间有一个空格。
第2条记忆（中期/可复用模板）：在 Keep_Two_decimal_points.xlsx 中把 spent 列的显示格式统一设置为保留两位小数。关键约束：只格式化 spent 列；固定显示两位小数；不改变原数值。
第3条记忆（长期/知识）：在 Padding_Decimals_In_Formular.xlsx 中处理文本公式里的数值显示，使嵌入文本的数字也固定保留两位小数，而不是只修改原数值单元格的显示格式。关键约束：嵌入文本的数字必须保留两位小数；不修改无关区域。
第4条记忆（短期/工作流程）：在 Set_Decimal_Separator_Dot.xlsx 中把整张表数值的小数分隔符显示为逗号，同时保持各个小数的实际数值和精度不变。关键约束：小数分隔符改为逗号；不得改变数值大小或已有小数位；覆盖表内所有数值。
人工复审时，应依据模型最终给出的信息和实际操作是否满足上述每个得分点分别给分；只命中记忆 ID 但没有形成对应结论不能获得该结论分，形成了正确结论但表达方式不同则不应扣分。</x:v>
      </x:c>
      <x:c r="AF496" s="50" t="str">
        <x:v>not_pass</x:v>
      </x:c>
      <x:c r="AG496" s="50" t="n">
        <x:v>0</x:v>
      </x:c>
    </x:row>
    <x:row r="497" ht="310.5" customHeight="1">
      <x:c r="A497" s="35" t="str">
        <x:v>V3_AQ08_Q01</x:v>
      </x:c>
      <x:c r="B497" s="36" t="str">
        <x:v>SG_CLARIFY_AQ08</x:v>
      </x:c>
      <x:c r="C497" s="36" t="str">
        <x:v>AQ08</x:v>
      </x:c>
      <x:c r="D497" s="36" t="str">
        <x:v>文本与标识清洗不明确</x:v>
      </x:c>
      <x:c r="E497" s="36" t="str">
        <x:v>clarification_required</x:v>
      </x:c>
      <x:c r="F497" s="36" t="str">
        <x:v>human_context_explicit</x:v>
      </x:c>
      <x:c r="G497" s="36" t="str">
        <x:v>challenge</x:v>
      </x:c>
      <x:c r="H497" s="36" t="str">
        <x:v>困难</x:v>
      </x:c>
      <x:c r="I497" s="36" t="str">
        <x:v>0bf05a7d-b28b-44d2-955a-50b41e24012a|a9f325aa-8c05-4e4f-8341-9e4358565f4f|abed40dc-063f-4598-8ba5-9fe749c0615d|37608790-6147-45d0-9f20-1137bb35703d</x:v>
      </x:c>
      <x:c r="J497" s="36" t="str">
        <x:v>CTX_0bf05a7d-b28b-44d2-955a-50b41e24012a|CTX_a9f325aa-8c05-4e4f-8341-9e4358565f4f|CTX_abed40dc-063f-4598-8ba5-9fe749c0615d|CTX_37608790-6147-45d0-9f20-1137bb35703d</x:v>
      </x:c>
      <x:c r="K497" s="36" t="str"/>
      <x:c r="L497" s="36" t="str">
        <x:v>LTM_0bf05a7d-b28b-44d2-955a-50b41e24012a|MTM_a9f325aa-8c05-4e4f-8341-9e4358565f4f|STM_abed40dc-063f-4598-8ba5-9fe749c0615d|STM_37608790-6147-45d0-9f20-1137bb35703d</x:v>
      </x:c>
      <x:c r="M497" s="36" t="str"/>
      <x:c r="N497" s="36" t="str">
        <x:v>工作流程</x:v>
      </x:c>
      <x:c r="O497" s="36" t="str">
        <x:v>长期|中期|短期</x:v>
      </x:c>
      <x:c r="P497" s="36" t="str">
        <x:v>["libreoffice_calc"]</x:v>
      </x:c>
      <x:c r="Q497" s="36" t="str">
        <x:v>[]</x:v>
      </x:c>
      <x:c r="R497" s="36" t="str">
        <x:v>[]</x:v>
      </x:c>
      <x:c r="S497" s="36" t="str"/>
      <x:c r="T497" s="36" t="str">
        <x:v>Customers_New_7digit_Id.xlsx|Movie_title_garbage_clean.xlsx|Names_Duplicate_Unique.xlsx|Employee_Roles_and_Ranks.xlsx</x:v>
      </x:c>
      <x:c r="U497" s="36" t="str">
        <x:v>ask_clarification</x:v>
      </x:c>
      <x:c r="V497" s="36" t="str">
        <x:v>[{"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x:v>
      </x:c>
      <x:c r="W497" s="36" t="str">
        <x:v>1.00</x:v>
      </x:c>
      <x:c r="X497" s="39" t="str">
        <x:v>这份待导入数据按之前的清洗规则处理一下。</x:v>
      </x:c>
      <x:c r="Y497" s="39" t="str">
        <x:v>不适用：当前题目在用户完成澄清前没有唯一的必需记忆。</x:v>
      </x:c>
      <x:c r="Z497"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x:v>
      </x:c>
      <x:c r="AA497" s="39" t="str">
        <x:v>不适用：当前题目没有指定需要排除的冲突或禁止记忆。</x:v>
      </x:c>
      <x:c r="AB497" s="39" t="str">
        <x:v>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C497" s="39" t="str">
        <x:v>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x:v>
      </x:c>
      <x:c r="AD497" s="39" t="str">
        <x:v>用户的完整请求是：“这份待导入数据按之前的清洗规则处理一下。”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E49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497" s="50" t="str">
        <x:v>not_pass</x:v>
      </x:c>
      <x:c r="AG497" s="50" t="n">
        <x:v>0</x:v>
      </x:c>
    </x:row>
    <x:row r="498" ht="310.5" customHeight="1">
      <x:c r="A498" s="35" t="str">
        <x:v>V3_AQ08_Q02</x:v>
      </x:c>
      <x:c r="B498" s="36" t="str">
        <x:v>SG_CLARIFY_AQ08</x:v>
      </x:c>
      <x:c r="C498" s="36" t="str">
        <x:v>AQ08</x:v>
      </x:c>
      <x:c r="D498" s="36" t="str">
        <x:v>文本与标识清洗不明确</x:v>
      </x:c>
      <x:c r="E498" s="36" t="str">
        <x:v>clarification_required</x:v>
      </x:c>
      <x:c r="F498" s="36" t="str">
        <x:v>human_goal_oriented</x:v>
      </x:c>
      <x:c r="G498" s="36" t="str">
        <x:v>challenge</x:v>
      </x:c>
      <x:c r="H498" s="36" t="str">
        <x:v>困难</x:v>
      </x:c>
      <x:c r="I498" s="36" t="str">
        <x:v>0bf05a7d-b28b-44d2-955a-50b41e24012a|a9f325aa-8c05-4e4f-8341-9e4358565f4f|abed40dc-063f-4598-8ba5-9fe749c0615d|37608790-6147-45d0-9f20-1137bb35703d</x:v>
      </x:c>
      <x:c r="J498" s="36" t="str">
        <x:v>CTX_0bf05a7d-b28b-44d2-955a-50b41e24012a|CTX_a9f325aa-8c05-4e4f-8341-9e4358565f4f|CTX_abed40dc-063f-4598-8ba5-9fe749c0615d|CTX_37608790-6147-45d0-9f20-1137bb35703d</x:v>
      </x:c>
      <x:c r="K498" s="36" t="str"/>
      <x:c r="L498" s="36" t="str">
        <x:v>LTM_0bf05a7d-b28b-44d2-955a-50b41e24012a|MTM_a9f325aa-8c05-4e4f-8341-9e4358565f4f|STM_abed40dc-063f-4598-8ba5-9fe749c0615d|STM_37608790-6147-45d0-9f20-1137bb35703d</x:v>
      </x:c>
      <x:c r="M498" s="36" t="str"/>
      <x:c r="N498" s="36" t="str">
        <x:v>工作流程</x:v>
      </x:c>
      <x:c r="O498" s="36" t="str">
        <x:v>长期|中期|短期</x:v>
      </x:c>
      <x:c r="P498" s="36" t="str">
        <x:v>["libreoffice_calc"]</x:v>
      </x:c>
      <x:c r="Q498" s="36" t="str">
        <x:v>[]</x:v>
      </x:c>
      <x:c r="R498" s="36" t="str">
        <x:v>[]</x:v>
      </x:c>
      <x:c r="S498" s="36" t="str"/>
      <x:c r="T498" s="36" t="str">
        <x:v>Customers_New_7digit_Id.xlsx|Movie_title_garbage_clean.xlsx|Names_Duplicate_Unique.xlsx|Employee_Roles_and_Ranks.xlsx</x:v>
      </x:c>
      <x:c r="U498" s="36" t="str">
        <x:v>ask_clarification</x:v>
      </x:c>
      <x:c r="V498" s="36" t="str">
        <x:v>[{"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x:v>
      </x:c>
      <x:c r="W498" s="36" t="str">
        <x:v>1.00</x:v>
      </x:c>
      <x:c r="X498" s="39" t="str">
        <x:v>文本和编号还是照上次的方式清理。</x:v>
      </x:c>
      <x:c r="Y498" s="39" t="str">
        <x:v>不适用：当前题目在用户完成澄清前没有唯一的必需记忆。</x:v>
      </x:c>
      <x:c r="Z498"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x:v>
      </x:c>
      <x:c r="AA498" s="39" t="str">
        <x:v>不适用：当前题目没有指定需要排除的冲突或禁止记忆。</x:v>
      </x:c>
      <x:c r="AB498" s="39" t="str">
        <x:v>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C498" s="39" t="str">
        <x:v>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x:v>
      </x:c>
      <x:c r="AD498" s="39" t="str">
        <x:v>用户的完整请求是：“文本和编号还是照上次的方式清理。”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E49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498" s="50" t="str">
        <x:v>not_pass</x:v>
      </x:c>
      <x:c r="AG498" s="50" t="n">
        <x:v>0</x:v>
      </x:c>
    </x:row>
    <x:row r="499" ht="310.5" customHeight="1">
      <x:c r="A499" s="35" t="str">
        <x:v>V3_AQ08_Q03</x:v>
      </x:c>
      <x:c r="B499" s="36" t="str">
        <x:v>SG_CLARIFY_AQ08</x:v>
      </x:c>
      <x:c r="C499" s="36" t="str">
        <x:v>AQ08</x:v>
      </x:c>
      <x:c r="D499" s="36" t="str">
        <x:v>文本与标识清洗不明确</x:v>
      </x:c>
      <x:c r="E499" s="36" t="str">
        <x:v>clarification_required</x:v>
      </x:c>
      <x:c r="F499" s="36" t="str">
        <x:v>contextual_ellipsis</x:v>
      </x:c>
      <x:c r="G499" s="36" t="str">
        <x:v>challenge</x:v>
      </x:c>
      <x:c r="H499" s="36" t="str">
        <x:v>困难</x:v>
      </x:c>
      <x:c r="I499" s="36" t="str">
        <x:v>0bf05a7d-b28b-44d2-955a-50b41e24012a|a9f325aa-8c05-4e4f-8341-9e4358565f4f|abed40dc-063f-4598-8ba5-9fe749c0615d|37608790-6147-45d0-9f20-1137bb35703d</x:v>
      </x:c>
      <x:c r="J499" s="36" t="str">
        <x:v>CTX_0bf05a7d-b28b-44d2-955a-50b41e24012a|CTX_a9f325aa-8c05-4e4f-8341-9e4358565f4f|CTX_abed40dc-063f-4598-8ba5-9fe749c0615d|CTX_37608790-6147-45d0-9f20-1137bb35703d</x:v>
      </x:c>
      <x:c r="K499" s="36" t="str"/>
      <x:c r="L499" s="36" t="str">
        <x:v>LTM_0bf05a7d-b28b-44d2-955a-50b41e24012a|MTM_a9f325aa-8c05-4e4f-8341-9e4358565f4f|STM_abed40dc-063f-4598-8ba5-9fe749c0615d|STM_37608790-6147-45d0-9f20-1137bb35703d</x:v>
      </x:c>
      <x:c r="M499" s="36" t="str"/>
      <x:c r="N499" s="36" t="str">
        <x:v>工作流程</x:v>
      </x:c>
      <x:c r="O499" s="36" t="str">
        <x:v>长期|中期|短期</x:v>
      </x:c>
      <x:c r="P499" s="36" t="str">
        <x:v>["libreoffice_calc"]</x:v>
      </x:c>
      <x:c r="Q499" s="36" t="str">
        <x:v>[]</x:v>
      </x:c>
      <x:c r="R499" s="36" t="str">
        <x:v>[]</x:v>
      </x:c>
      <x:c r="S499" s="36" t="str"/>
      <x:c r="T499" s="36" t="str">
        <x:v>Customers_New_7digit_Id.xlsx|Movie_title_garbage_clean.xlsx|Names_Duplicate_Unique.xlsx|Employee_Roles_and_Ranks.xlsx</x:v>
      </x:c>
      <x:c r="U499" s="36" t="str">
        <x:v>ask_clarification</x:v>
      </x:c>
      <x:c r="V499" s="36" t="str">
        <x:v>[{"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x:v>
      </x:c>
      <x:c r="W499" s="36" t="str">
        <x:v>1.00</x:v>
      </x:c>
      <x:c r="X499" s="39" t="str">
        <x:v>我已经打开原始数据表了，按旧规则整理到目标列。</x:v>
      </x:c>
      <x:c r="Y499" s="39" t="str">
        <x:v>不适用：当前题目在用户完成澄清前没有唯一的必需记忆。</x:v>
      </x:c>
      <x:c r="Z499"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x:v>
      </x:c>
      <x:c r="AA499" s="39" t="str">
        <x:v>不适用：当前题目没有指定需要排除的冲突或禁止记忆。</x:v>
      </x:c>
      <x:c r="AB499" s="39" t="str">
        <x:v>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C499" s="39" t="str">
        <x:v>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x:v>
      </x:c>
      <x:c r="AD499" s="39" t="str">
        <x:v>用户的完整请求是：“我已经打开原始数据表了，按旧规则整理到目标列。”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E49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499" s="50" t="str">
        <x:v>not_pass</x:v>
      </x:c>
      <x:c r="AG499" s="50" t="n">
        <x:v>0</x:v>
      </x:c>
    </x:row>
    <x:row r="500" ht="310.5" customHeight="1">
      <x:c r="A500" s="35" t="str">
        <x:v>V3_AQ08_Q04</x:v>
      </x:c>
      <x:c r="B500" s="36" t="str">
        <x:v>SG_CLARIFY_AQ08</x:v>
      </x:c>
      <x:c r="C500" s="36" t="str">
        <x:v>AQ08</x:v>
      </x:c>
      <x:c r="D500" s="36" t="str">
        <x:v>文本与标识清洗不明确</x:v>
      </x:c>
      <x:c r="E500" s="36" t="str">
        <x:v>clarification_required</x:v>
      </x:c>
      <x:c r="F500" s="36" t="str">
        <x:v>low_overlap_paraphrase</x:v>
      </x:c>
      <x:c r="G500" s="36" t="str">
        <x:v>challenge</x:v>
      </x:c>
      <x:c r="H500" s="36" t="str">
        <x:v>困难</x:v>
      </x:c>
      <x:c r="I500" s="36" t="str">
        <x:v>0bf05a7d-b28b-44d2-955a-50b41e24012a|a9f325aa-8c05-4e4f-8341-9e4358565f4f|abed40dc-063f-4598-8ba5-9fe749c0615d|37608790-6147-45d0-9f20-1137bb35703d</x:v>
      </x:c>
      <x:c r="J500" s="36" t="str">
        <x:v>CTX_0bf05a7d-b28b-44d2-955a-50b41e24012a|CTX_a9f325aa-8c05-4e4f-8341-9e4358565f4f|CTX_abed40dc-063f-4598-8ba5-9fe749c0615d|CTX_37608790-6147-45d0-9f20-1137bb35703d</x:v>
      </x:c>
      <x:c r="K500" s="36" t="str"/>
      <x:c r="L500" s="36" t="str">
        <x:v>LTM_0bf05a7d-b28b-44d2-955a-50b41e24012a|MTM_a9f325aa-8c05-4e4f-8341-9e4358565f4f|STM_abed40dc-063f-4598-8ba5-9fe749c0615d|STM_37608790-6147-45d0-9f20-1137bb35703d</x:v>
      </x:c>
      <x:c r="M500" s="36" t="str"/>
      <x:c r="N500" s="36" t="str">
        <x:v>工作流程</x:v>
      </x:c>
      <x:c r="O500" s="36" t="str">
        <x:v>长期|中期|短期</x:v>
      </x:c>
      <x:c r="P500" s="36" t="str">
        <x:v>["libreoffice_calc"]</x:v>
      </x:c>
      <x:c r="Q500" s="36" t="str">
        <x:v>[]</x:v>
      </x:c>
      <x:c r="R500" s="36" t="str">
        <x:v>[]</x:v>
      </x:c>
      <x:c r="S500" s="36" t="str"/>
      <x:c r="T500" s="36" t="str">
        <x:v>Customers_New_7digit_Id.xlsx|Movie_title_garbage_clean.xlsx|Names_Duplicate_Unique.xlsx|Employee_Roles_and_Ranks.xlsx</x:v>
      </x:c>
      <x:c r="U500" s="36" t="str">
        <x:v>ask_clarification</x:v>
      </x:c>
      <x:c r="V500" s="36" t="str">
        <x:v>[{"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x:v>
      </x:c>
      <x:c r="W500" s="36" t="str">
        <x:v>1.00</x:v>
      </x:c>
      <x:c r="X500" s="39" t="str">
        <x:v>把这批脏数据按我们以前的做法规范一下。</x:v>
      </x:c>
      <x:c r="Y500" s="39" t="str">
        <x:v>不适用：当前题目在用户完成澄清前没有唯一的必需记忆。</x:v>
      </x:c>
      <x:c r="Z500"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x:v>
      </x:c>
      <x:c r="AA500" s="39" t="str">
        <x:v>不适用：当前题目没有指定需要排除的冲突或禁止记忆。</x:v>
      </x:c>
      <x:c r="AB500" s="39" t="str">
        <x:v>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C500" s="39" t="str">
        <x:v>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x:v>
      </x:c>
      <x:c r="AD500" s="39" t="str">
        <x:v>用户的完整请求是：“把这批脏数据按我们以前的做法规范一下。”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E50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500" s="50" t="str">
        <x:v>not_pass</x:v>
      </x:c>
      <x:c r="AG500" s="50" t="n">
        <x:v>0</x:v>
      </x:c>
    </x:row>
    <x:row r="501" ht="310.5" customHeight="1">
      <x:c r="A501" s="35" t="str">
        <x:v>V3_AQ08_Q05</x:v>
      </x:c>
      <x:c r="B501" s="36" t="str">
        <x:v>SG_CLARIFY_AQ08</x:v>
      </x:c>
      <x:c r="C501" s="36" t="str">
        <x:v>AQ08</x:v>
      </x:c>
      <x:c r="D501" s="36" t="str">
        <x:v>文本与标识清洗不明确</x:v>
      </x:c>
      <x:c r="E501" s="36" t="str">
        <x:v>clarification_required</x:v>
      </x:c>
      <x:c r="F501" s="36" t="str">
        <x:v>human_constraint_emphasis</x:v>
      </x:c>
      <x:c r="G501" s="36" t="str">
        <x:v>challenge</x:v>
      </x:c>
      <x:c r="H501" s="36" t="str">
        <x:v>困难</x:v>
      </x:c>
      <x:c r="I501" s="36" t="str">
        <x:v>0bf05a7d-b28b-44d2-955a-50b41e24012a|a9f325aa-8c05-4e4f-8341-9e4358565f4f|abed40dc-063f-4598-8ba5-9fe749c0615d|37608790-6147-45d0-9f20-1137bb35703d</x:v>
      </x:c>
      <x:c r="J501" s="36" t="str">
        <x:v>CTX_0bf05a7d-b28b-44d2-955a-50b41e24012a|CTX_a9f325aa-8c05-4e4f-8341-9e4358565f4f|CTX_abed40dc-063f-4598-8ba5-9fe749c0615d|CTX_37608790-6147-45d0-9f20-1137bb35703d</x:v>
      </x:c>
      <x:c r="K501" s="36" t="str"/>
      <x:c r="L501" s="36" t="str">
        <x:v>LTM_0bf05a7d-b28b-44d2-955a-50b41e24012a|MTM_a9f325aa-8c05-4e4f-8341-9e4358565f4f|STM_abed40dc-063f-4598-8ba5-9fe749c0615d|STM_37608790-6147-45d0-9f20-1137bb35703d</x:v>
      </x:c>
      <x:c r="M501" s="36" t="str"/>
      <x:c r="N501" s="36" t="str">
        <x:v>工作流程</x:v>
      </x:c>
      <x:c r="O501" s="36" t="str">
        <x:v>长期|中期|短期</x:v>
      </x:c>
      <x:c r="P501" s="36" t="str">
        <x:v>["libreoffice_calc"]</x:v>
      </x:c>
      <x:c r="Q501" s="36" t="str">
        <x:v>[]</x:v>
      </x:c>
      <x:c r="R501" s="36" t="str">
        <x:v>[]</x:v>
      </x:c>
      <x:c r="S501" s="36" t="str"/>
      <x:c r="T501" s="36" t="str">
        <x:v>Customers_New_7digit_Id.xlsx|Movie_title_garbage_clean.xlsx|Names_Duplicate_Unique.xlsx|Employee_Roles_and_Ranks.xlsx</x:v>
      </x:c>
      <x:c r="U501" s="36" t="str">
        <x:v>ask_clarification</x:v>
      </x:c>
      <x:c r="V501" s="36" t="str">
        <x:v>[{"point_id":"P1","description":"识别当前信息不足以唯一确定历史方案，不直接执行","weight":0.5,"evidence_memory_ids":["LTM_0bf05a7d-b28b-44d2-955a-50b41e24012a","MTM_a9f325aa-8c05-4e4f-8341-9e4358565f4f","STM_abed40dc-063f-4598-8ba5-9fe749c0615d","STM_37608790-6147-45d0-9f20-1137bb35703d"]},{"point_id":"P2","description":"提出能够区分现有候选方案的澄清问题","weight":0.4,"evidence_memory_ids":["LTM_0bf05a7d-b28b-44d2-955a-50b41e24012a","MTM_a9f325aa-8c05-4e4f-8341-9e4358565f4f","STM_abed40dc-063f-4598-8ba5-9fe749c0615d","STM_37608790-6147-45d0-9f20-1137bb35703d"]},{"point_id":"P3","description":"澄清前不擅自选择任一候选记忆","weight":0.1,"evidence_memory_ids":["LTM_0bf05a7d-b28b-44d2-955a-50b41e24012a","MTM_a9f325aa-8c05-4e4f-8341-9e4358565f4f","STM_abed40dc-063f-4598-8ba5-9fe749c0615d","STM_37608790-6147-45d0-9f20-1137bb35703d"]}]</x:v>
      </x:c>
      <x:c r="W501" s="36" t="str">
        <x:v>1.00</x:v>
      </x:c>
      <x:c r="X501" s="39" t="str">
        <x:v>导入前的清洗继续沿用之前那套。</x:v>
      </x:c>
      <x:c r="Y501" s="39" t="str">
        <x:v>不适用：当前题目在用户完成澄清前没有唯一的必需记忆。</x:v>
      </x:c>
      <x:c r="Z501" s="39" t="str">
        <x:v>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x:v>
      </x:c>
      <x:c r="AA501" s="39" t="str">
        <x:v>不适用：当前题目没有指定需要排除的冲突或禁止记忆。</x:v>
      </x:c>
      <x:c r="AB501" s="39" t="str">
        <x:v>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C501" s="39" t="str">
        <x:v>当前阶段不执行文件修改、数据处理、格式调整或结果导出。实际操作应当是先向用户完整列出并区分以下候选方案：1）把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列，同时保留原始数据。只有在用户明确说明目标文件、工作表、范围、输出形式或具体方案后，才按照用户选定的对应记忆执行。</x:v>
      </x:c>
      <x:c r="AD501" s="39" t="str">
        <x:v>用户的完整请求是：“导入前的清洗继续沿用之前那套。” 第1个当前上下文：Customers_New_7digit_Id.xlsx 已在 LibreOffice Calc 中打开。 第2个当前上下文：Movie_title_garbage_clean.xlsx 已在 LibreOffice Calc 中打开。 第3个当前上下文：Names_Duplicate_Unique.xlsx 已在 LibreOffice Calc 中打开。 第4个当前上下文：Employee_Roles_and_Ranks.xlsx 已在 LibreOffice Calc 中打开。 当前请求只表达了“继续以前的做法”或“按之前方式处理”这类概括性目标，没有说明具体要得到哪一种结果。历史中同时存在以下完整候选记忆：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Customers_New_7digit_Id.xlsx 中 Old ID 列的编号复制到 New 7 Digit Id 列，并在前面补零，使每个编号恰好为 7 位；2）把 Movie_title_garbage_clean.xlsx 中 Garbage Movie Titles 的标题复制到 Clean Movie Titles，去掉多余空格，并将每个单词首字母大写、其余字母小写；3）检查 Names_Duplicate_Unique.xlsx 的 Names with duplicates 列，把去重后的姓名填入 Unique Names 列，并保留每个姓名第一次出现的原始顺序；4）在 Employee_Roles_and_Ranks.xlsx 中，把混在一个字段里的人员信息拆分，并分别填入 First Name、Last Name 和 Rank 列，同时保留原始数据。在用户明确选择前，不应擅自执行其中任何一个方案。”</x:v>
      </x:c>
      <x:c r="AE50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第2个得分点（0.40分）：提出能够区分现有候选方案的澄清问题。该得分点所依据的完整证据为：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第3个得分点（0.10分）：澄清前不擅自选择任一候选记忆。该得分点所依据的完整证据为：
第1条记忆（长期/工作流程）：把 Customers_New_7digit_Id.xlsx 中 Old ID 列的编号复制到 New 7 Digit Id 列，并在前面补零，使每个编号恰好为 7 位。关键约束：保留 Old ID；新编号必须为 7 位；不修改无关区域。
第2条记忆（中期/工作流程）：把 Movie_title_garbage_clean.xlsx 中 Garbage Movie Titles 的标题复制到 Clean Movie Titles，去掉多余空格，并将每个单词首字母大写、其余字母小写。关键约束：保留原始脏标题列；清理多余空格；使用单词首字母大写格式；不修改无关区域。
第3条记忆（短期/工作流程）：检查 Names_Duplicate_Unique.xlsx 的 Names with duplicates 列，把去重后的姓名填入 Unique Names 列，并保留每个姓名第一次出现的原始顺序。关键约束：去除重复姓名；保留首次出现顺序；不修改原始重复列和无关区域。
第4条记忆（短期/工作流程）：在 Employee_Roles_and_Ranks.xlsx 中，把混在一个字段里的人员信息拆分，并分别填入 First Name、Last Name 和 Rank 列，同时保留原始数据。关键约束：拆成指定三列；原始混合字段不得修改或删除。
人工复审时，应依据模型最终给出的信息和实际操作是否满足上述每个得分点分别给分；只命中记忆 ID 但没有形成对应结论不能获得该结论分，形成了正确结论但表达方式不同则不应扣分。</x:v>
      </x:c>
      <x:c r="AF501" s="50" t="str">
        <x:v>not_pass</x:v>
      </x:c>
      <x:c r="AG501" s="50" t="n">
        <x:v>0</x:v>
      </x:c>
    </x:row>
    <x:row r="502" ht="270" customHeight="1">
      <x:c r="A502" s="35" t="str">
        <x:v>V3_AQ09_Q01</x:v>
      </x:c>
      <x:c r="B502" s="36" t="str">
        <x:v>SG_CLARIFY_AQ09</x:v>
      </x:c>
      <x:c r="C502" s="36" t="str">
        <x:v>AQ09</x:v>
      </x:c>
      <x:c r="D502" s="36" t="str">
        <x:v>日期与数值计算不明确</x:v>
      </x:c>
      <x:c r="E502" s="36" t="str">
        <x:v>clarification_required</x:v>
      </x:c>
      <x:c r="F502" s="36" t="str">
        <x:v>human_context_explicit</x:v>
      </x:c>
      <x:c r="G502" s="36" t="str">
        <x:v>challenge</x:v>
      </x:c>
      <x:c r="H502" s="36" t="str">
        <x:v>困难</x:v>
      </x:c>
      <x:c r="I502" s="36" t="str">
        <x:v>4172ea6e-6b77-4edb-a9cc-c0014bd1603b|4e6fcf72-daf3-439f-a232-c434ce416af6|21ab7b40-77c2-4ae6-8321-e00d3a086c73|357ef137-7eeb-4c80-a3bb-0951f26a8aff</x:v>
      </x:c>
      <x:c r="J502" s="36" t="str">
        <x:v>CTX_4172ea6e-6b77-4edb-a9cc-c0014bd1603b|CTX_4e6fcf72-daf3-439f-a232-c434ce416af6|CTX_21ab7b40-77c2-4ae6-8321-e00d3a086c73|CTX_357ef137-7eeb-4c80-a3bb-0951f26a8aff</x:v>
      </x:c>
      <x:c r="K502" s="36" t="str"/>
      <x:c r="L502" s="36" t="str">
        <x:v>STM_4172ea6e-6b77-4edb-a9cc-c0014bd1603b|MTM_4e6fcf72-daf3-439f-a232-c434ce416af6|LTM_21ab7b40-77c2-4ae6-8321-e00d3a086c73|STM_357ef137-7eeb-4c80-a3bb-0951f26a8aff</x:v>
      </x:c>
      <x:c r="M502" s="36" t="str"/>
      <x:c r="N502" s="36" t="str">
        <x:v>知识</x:v>
      </x:c>
      <x:c r="O502" s="36" t="str">
        <x:v>短期|中期|长期</x:v>
      </x:c>
      <x:c r="P502" s="36" t="str">
        <x:v>["libreoffice_calc"]</x:v>
      </x:c>
      <x:c r="Q502" s="36" t="str">
        <x:v>[]</x:v>
      </x:c>
      <x:c r="R502" s="36" t="str">
        <x:v>[]</x:v>
      </x:c>
      <x:c r="S502" s="36" t="str"/>
      <x:c r="T502" s="36" t="str">
        <x:v>MaturityDate.xlsx|Employee_Age_By_Birthday.xlsx|PeriodRate.xlsx|Multiply_Time_Number.xlsx</x:v>
      </x:c>
      <x:c r="U502" s="36" t="str">
        <x:v>ask_clarification</x:v>
      </x:c>
      <x:c r="V502" s="36" t="str">
        <x:v>[{"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x:v>
      </x:c>
      <x:c r="W502" s="36" t="str">
        <x:v>1.00</x:v>
      </x:c>
      <x:c r="X502" s="39" t="str">
        <x:v>这张表的计算列按之前的公式补完整。</x:v>
      </x:c>
      <x:c r="Y502" s="39" t="str">
        <x:v>不适用：当前题目在用户完成澄清前没有唯一的必需记忆。</x:v>
      </x:c>
      <x:c r="Z502"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AA502" s="39" t="str">
        <x:v>不适用：当前题目没有指定需要排除的冲突或禁止记忆。</x:v>
      </x:c>
      <x:c r="AB502" s="39" t="str">
        <x:v>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C502" s="39" t="str">
        <x:v>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x:v>
      </x:c>
      <x:c r="AD502" s="39" t="str">
        <x:v>用户的完整请求是：“这张表的计算列按之前的公式补完整。”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E50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502" s="50" t="str">
        <x:v>not_pass</x:v>
      </x:c>
      <x:c r="AG502" s="50" t="n">
        <x:v>0</x:v>
      </x:c>
    </x:row>
    <x:row r="503" ht="270" customHeight="1">
      <x:c r="A503" s="35" t="str">
        <x:v>V3_AQ09_Q02</x:v>
      </x:c>
      <x:c r="B503" s="36" t="str">
        <x:v>SG_CLARIFY_AQ09</x:v>
      </x:c>
      <x:c r="C503" s="36" t="str">
        <x:v>AQ09</x:v>
      </x:c>
      <x:c r="D503" s="36" t="str">
        <x:v>日期与数值计算不明确</x:v>
      </x:c>
      <x:c r="E503" s="36" t="str">
        <x:v>clarification_required</x:v>
      </x:c>
      <x:c r="F503" s="36" t="str">
        <x:v>human_goal_oriented</x:v>
      </x:c>
      <x:c r="G503" s="36" t="str">
        <x:v>challenge</x:v>
      </x:c>
      <x:c r="H503" s="36" t="str">
        <x:v>困难</x:v>
      </x:c>
      <x:c r="I503" s="36" t="str">
        <x:v>4172ea6e-6b77-4edb-a9cc-c0014bd1603b|4e6fcf72-daf3-439f-a232-c434ce416af6|21ab7b40-77c2-4ae6-8321-e00d3a086c73|357ef137-7eeb-4c80-a3bb-0951f26a8aff</x:v>
      </x:c>
      <x:c r="J503" s="36" t="str">
        <x:v>CTX_4172ea6e-6b77-4edb-a9cc-c0014bd1603b|CTX_4e6fcf72-daf3-439f-a232-c434ce416af6|CTX_21ab7b40-77c2-4ae6-8321-e00d3a086c73|CTX_357ef137-7eeb-4c80-a3bb-0951f26a8aff</x:v>
      </x:c>
      <x:c r="K503" s="36" t="str"/>
      <x:c r="L503" s="36" t="str">
        <x:v>STM_4172ea6e-6b77-4edb-a9cc-c0014bd1603b|MTM_4e6fcf72-daf3-439f-a232-c434ce416af6|LTM_21ab7b40-77c2-4ae6-8321-e00d3a086c73|STM_357ef137-7eeb-4c80-a3bb-0951f26a8aff</x:v>
      </x:c>
      <x:c r="M503" s="36" t="str"/>
      <x:c r="N503" s="36" t="str">
        <x:v>知识</x:v>
      </x:c>
      <x:c r="O503" s="36" t="str">
        <x:v>短期|中期|长期</x:v>
      </x:c>
      <x:c r="P503" s="36" t="str">
        <x:v>["libreoffice_calc"]</x:v>
      </x:c>
      <x:c r="Q503" s="36" t="str">
        <x:v>[]</x:v>
      </x:c>
      <x:c r="R503" s="36" t="str">
        <x:v>[]</x:v>
      </x:c>
      <x:c r="S503" s="36" t="str"/>
      <x:c r="T503" s="36" t="str">
        <x:v>MaturityDate.xlsx|Employee_Age_By_Birthday.xlsx|PeriodRate.xlsx|Multiply_Time_Number.xlsx</x:v>
      </x:c>
      <x:c r="U503" s="36" t="str">
        <x:v>ask_clarification</x:v>
      </x:c>
      <x:c r="V503" s="36" t="str">
        <x:v>[{"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x:v>
      </x:c>
      <x:c r="W503" s="36" t="str">
        <x:v>1.00</x:v>
      </x:c>
      <x:c r="X503" s="39" t="str">
        <x:v>日期和数值结果还是照以前的口径算。</x:v>
      </x:c>
      <x:c r="Y503" s="39" t="str">
        <x:v>不适用：当前题目在用户完成澄清前没有唯一的必需记忆。</x:v>
      </x:c>
      <x:c r="Z503"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AA503" s="39" t="str">
        <x:v>不适用：当前题目没有指定需要排除的冲突或禁止记忆。</x:v>
      </x:c>
      <x:c r="AB503" s="39" t="str">
        <x:v>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C503" s="39" t="str">
        <x:v>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x:v>
      </x:c>
      <x:c r="AD503" s="39" t="str">
        <x:v>用户的完整请求是：“日期和数值结果还是照以前的口径算。”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E50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503" s="50" t="str">
        <x:v>not_pass</x:v>
      </x:c>
      <x:c r="AG503" s="50" t="n">
        <x:v>0</x:v>
      </x:c>
    </x:row>
    <x:row r="504" ht="270" customHeight="1">
      <x:c r="A504" s="35" t="str">
        <x:v>V3_AQ09_Q03</x:v>
      </x:c>
      <x:c r="B504" s="36" t="str">
        <x:v>SG_CLARIFY_AQ09</x:v>
      </x:c>
      <x:c r="C504" s="36" t="str">
        <x:v>AQ09</x:v>
      </x:c>
      <x:c r="D504" s="36" t="str">
        <x:v>日期与数值计算不明确</x:v>
      </x:c>
      <x:c r="E504" s="36" t="str">
        <x:v>clarification_required</x:v>
      </x:c>
      <x:c r="F504" s="36" t="str">
        <x:v>contextual_ellipsis</x:v>
      </x:c>
      <x:c r="G504" s="36" t="str">
        <x:v>challenge</x:v>
      </x:c>
      <x:c r="H504" s="36" t="str">
        <x:v>困难</x:v>
      </x:c>
      <x:c r="I504" s="36" t="str">
        <x:v>4172ea6e-6b77-4edb-a9cc-c0014bd1603b|4e6fcf72-daf3-439f-a232-c434ce416af6|21ab7b40-77c2-4ae6-8321-e00d3a086c73|357ef137-7eeb-4c80-a3bb-0951f26a8aff</x:v>
      </x:c>
      <x:c r="J504" s="36" t="str">
        <x:v>CTX_4172ea6e-6b77-4edb-a9cc-c0014bd1603b|CTX_4e6fcf72-daf3-439f-a232-c434ce416af6|CTX_21ab7b40-77c2-4ae6-8321-e00d3a086c73|CTX_357ef137-7eeb-4c80-a3bb-0951f26a8aff</x:v>
      </x:c>
      <x:c r="K504" s="36" t="str"/>
      <x:c r="L504" s="36" t="str">
        <x:v>STM_4172ea6e-6b77-4edb-a9cc-c0014bd1603b|MTM_4e6fcf72-daf3-439f-a232-c434ce416af6|LTM_21ab7b40-77c2-4ae6-8321-e00d3a086c73|STM_357ef137-7eeb-4c80-a3bb-0951f26a8aff</x:v>
      </x:c>
      <x:c r="M504" s="36" t="str"/>
      <x:c r="N504" s="36" t="str">
        <x:v>知识</x:v>
      </x:c>
      <x:c r="O504" s="36" t="str">
        <x:v>短期|中期|长期</x:v>
      </x:c>
      <x:c r="P504" s="36" t="str">
        <x:v>["libreoffice_calc"]</x:v>
      </x:c>
      <x:c r="Q504" s="36" t="str">
        <x:v>[]</x:v>
      </x:c>
      <x:c r="R504" s="36" t="str">
        <x:v>[]</x:v>
      </x:c>
      <x:c r="S504" s="36" t="str"/>
      <x:c r="T504" s="36" t="str">
        <x:v>MaturityDate.xlsx|Employee_Age_By_Birthday.xlsx|PeriodRate.xlsx|Multiply_Time_Number.xlsx</x:v>
      </x:c>
      <x:c r="U504" s="36" t="str">
        <x:v>ask_clarification</x:v>
      </x:c>
      <x:c r="V504" s="36" t="str">
        <x:v>[{"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x:v>
      </x:c>
      <x:c r="W504" s="36" t="str">
        <x:v>1.00</x:v>
      </x:c>
      <x:c r="X504" s="39" t="str">
        <x:v>文件已经打开了，把目标列按旧规则算出来。</x:v>
      </x:c>
      <x:c r="Y504" s="39" t="str">
        <x:v>不适用：当前题目在用户完成澄清前没有唯一的必需记忆。</x:v>
      </x:c>
      <x:c r="Z504"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AA504" s="39" t="str">
        <x:v>不适用：当前题目没有指定需要排除的冲突或禁止记忆。</x:v>
      </x:c>
      <x:c r="AB504" s="39" t="str">
        <x:v>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C504" s="39" t="str">
        <x:v>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x:v>
      </x:c>
      <x:c r="AD504" s="39" t="str">
        <x:v>用户的完整请求是：“文件已经打开了，把目标列按旧规则算出来。”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E50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504" s="50" t="str">
        <x:v>not_pass</x:v>
      </x:c>
      <x:c r="AG504" s="50" t="n">
        <x:v>0</x:v>
      </x:c>
    </x:row>
    <x:row r="505" ht="270" customHeight="1">
      <x:c r="A505" s="35" t="str">
        <x:v>V3_AQ09_Q04</x:v>
      </x:c>
      <x:c r="B505" s="36" t="str">
        <x:v>SG_CLARIFY_AQ09</x:v>
      </x:c>
      <x:c r="C505" s="36" t="str">
        <x:v>AQ09</x:v>
      </x:c>
      <x:c r="D505" s="36" t="str">
        <x:v>日期与数值计算不明确</x:v>
      </x:c>
      <x:c r="E505" s="36" t="str">
        <x:v>clarification_required</x:v>
      </x:c>
      <x:c r="F505" s="36" t="str">
        <x:v>low_overlap_paraphrase</x:v>
      </x:c>
      <x:c r="G505" s="36" t="str">
        <x:v>challenge</x:v>
      </x:c>
      <x:c r="H505" s="36" t="str">
        <x:v>困难</x:v>
      </x:c>
      <x:c r="I505" s="36" t="str">
        <x:v>4172ea6e-6b77-4edb-a9cc-c0014bd1603b|4e6fcf72-daf3-439f-a232-c434ce416af6|21ab7b40-77c2-4ae6-8321-e00d3a086c73|357ef137-7eeb-4c80-a3bb-0951f26a8aff</x:v>
      </x:c>
      <x:c r="J505" s="36" t="str">
        <x:v>CTX_4172ea6e-6b77-4edb-a9cc-c0014bd1603b|CTX_4e6fcf72-daf3-439f-a232-c434ce416af6|CTX_21ab7b40-77c2-4ae6-8321-e00d3a086c73|CTX_357ef137-7eeb-4c80-a3bb-0951f26a8aff</x:v>
      </x:c>
      <x:c r="K505" s="36" t="str"/>
      <x:c r="L505" s="36" t="str">
        <x:v>STM_4172ea6e-6b77-4edb-a9cc-c0014bd1603b|MTM_4e6fcf72-daf3-439f-a232-c434ce416af6|LTM_21ab7b40-77c2-4ae6-8321-e00d3a086c73|STM_357ef137-7eeb-4c80-a3bb-0951f26a8aff</x:v>
      </x:c>
      <x:c r="M505" s="36" t="str"/>
      <x:c r="N505" s="36" t="str">
        <x:v>知识</x:v>
      </x:c>
      <x:c r="O505" s="36" t="str">
        <x:v>短期|中期|长期</x:v>
      </x:c>
      <x:c r="P505" s="36" t="str">
        <x:v>["libreoffice_calc"]</x:v>
      </x:c>
      <x:c r="Q505" s="36" t="str">
        <x:v>[]</x:v>
      </x:c>
      <x:c r="R505" s="36" t="str">
        <x:v>[]</x:v>
      </x:c>
      <x:c r="S505" s="36" t="str"/>
      <x:c r="T505" s="36" t="str">
        <x:v>MaturityDate.xlsx|Employee_Age_By_Birthday.xlsx|PeriodRate.xlsx|Multiply_Time_Number.xlsx</x:v>
      </x:c>
      <x:c r="U505" s="36" t="str">
        <x:v>ask_clarification</x:v>
      </x:c>
      <x:c r="V505" s="36" t="str">
        <x:v>[{"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x:v>
      </x:c>
      <x:c r="W505" s="36" t="str">
        <x:v>1.00</x:v>
      </x:c>
      <x:c r="X505" s="39" t="str">
        <x:v>这批记录继续用我们之前的计算方法。</x:v>
      </x:c>
      <x:c r="Y505" s="39" t="str">
        <x:v>不适用：当前题目在用户完成澄清前没有唯一的必需记忆。</x:v>
      </x:c>
      <x:c r="Z505"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AA505" s="39" t="str">
        <x:v>不适用：当前题目没有指定需要排除的冲突或禁止记忆。</x:v>
      </x:c>
      <x:c r="AB505" s="39" t="str">
        <x:v>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C505" s="39" t="str">
        <x:v>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x:v>
      </x:c>
      <x:c r="AD505" s="39" t="str">
        <x:v>用户的完整请求是：“这批记录继续用我们之前的计算方法。”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E50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505" s="50" t="str">
        <x:v>not_pass</x:v>
      </x:c>
      <x:c r="AG505" s="50" t="n">
        <x:v>0</x:v>
      </x:c>
    </x:row>
    <x:row r="506" ht="270" customHeight="1">
      <x:c r="A506" s="35" t="str">
        <x:v>V3_AQ09_Q05</x:v>
      </x:c>
      <x:c r="B506" s="36" t="str">
        <x:v>SG_CLARIFY_AQ09</x:v>
      </x:c>
      <x:c r="C506" s="36" t="str">
        <x:v>AQ09</x:v>
      </x:c>
      <x:c r="D506" s="36" t="str">
        <x:v>日期与数值计算不明确</x:v>
      </x:c>
      <x:c r="E506" s="36" t="str">
        <x:v>clarification_required</x:v>
      </x:c>
      <x:c r="F506" s="36" t="str">
        <x:v>human_constraint_emphasis</x:v>
      </x:c>
      <x:c r="G506" s="36" t="str">
        <x:v>challenge</x:v>
      </x:c>
      <x:c r="H506" s="36" t="str">
        <x:v>困难</x:v>
      </x:c>
      <x:c r="I506" s="36" t="str">
        <x:v>4172ea6e-6b77-4edb-a9cc-c0014bd1603b|4e6fcf72-daf3-439f-a232-c434ce416af6|21ab7b40-77c2-4ae6-8321-e00d3a086c73|357ef137-7eeb-4c80-a3bb-0951f26a8aff</x:v>
      </x:c>
      <x:c r="J506" s="36" t="str">
        <x:v>CTX_4172ea6e-6b77-4edb-a9cc-c0014bd1603b|CTX_4e6fcf72-daf3-439f-a232-c434ce416af6|CTX_21ab7b40-77c2-4ae6-8321-e00d3a086c73|CTX_357ef137-7eeb-4c80-a3bb-0951f26a8aff</x:v>
      </x:c>
      <x:c r="K506" s="36" t="str"/>
      <x:c r="L506" s="36" t="str">
        <x:v>STM_4172ea6e-6b77-4edb-a9cc-c0014bd1603b|MTM_4e6fcf72-daf3-439f-a232-c434ce416af6|LTM_21ab7b40-77c2-4ae6-8321-e00d3a086c73|STM_357ef137-7eeb-4c80-a3bb-0951f26a8aff</x:v>
      </x:c>
      <x:c r="M506" s="36" t="str"/>
      <x:c r="N506" s="36" t="str">
        <x:v>知识</x:v>
      </x:c>
      <x:c r="O506" s="36" t="str">
        <x:v>短期|中期|长期</x:v>
      </x:c>
      <x:c r="P506" s="36" t="str">
        <x:v>["libreoffice_calc"]</x:v>
      </x:c>
      <x:c r="Q506" s="36" t="str">
        <x:v>[]</x:v>
      </x:c>
      <x:c r="R506" s="36" t="str">
        <x:v>[]</x:v>
      </x:c>
      <x:c r="S506" s="36" t="str"/>
      <x:c r="T506" s="36" t="str">
        <x:v>MaturityDate.xlsx|Employee_Age_By_Birthday.xlsx|PeriodRate.xlsx|Multiply_Time_Number.xlsx</x:v>
      </x:c>
      <x:c r="U506" s="36" t="str">
        <x:v>ask_clarification</x:v>
      </x:c>
      <x:c r="V506" s="36" t="str">
        <x:v>[{"point_id":"P1","description":"识别当前信息不足以唯一确定历史方案，不直接执行","weight":0.5,"evidence_memory_ids":["STM_4172ea6e-6b77-4edb-a9cc-c0014bd1603b","MTM_4e6fcf72-daf3-439f-a232-c434ce416af6","LTM_21ab7b40-77c2-4ae6-8321-e00d3a086c73","STM_357ef137-7eeb-4c80-a3bb-0951f26a8aff"]},{"point_id":"P2","description":"提出能够区分现有候选方案的澄清问题","weight":0.4,"evidence_memory_ids":["STM_4172ea6e-6b77-4edb-a9cc-c0014bd1603b","MTM_4e6fcf72-daf3-439f-a232-c434ce416af6","LTM_21ab7b40-77c2-4ae6-8321-e00d3a086c73","STM_357ef137-7eeb-4c80-a3bb-0951f26a8aff"]},{"point_id":"P3","description":"澄清前不擅自选择任一候选记忆","weight":0.1,"evidence_memory_ids":["STM_4172ea6e-6b77-4edb-a9cc-c0014bd1603b","MTM_4e6fcf72-daf3-439f-a232-c434ce416af6","LTM_21ab7b40-77c2-4ae6-8321-e00d3a086c73","STM_357ef137-7eeb-4c80-a3bb-0951f26a8aff"]}]</x:v>
      </x:c>
      <x:c r="W506" s="36" t="str">
        <x:v>1.00</x:v>
      </x:c>
      <x:c r="X506" s="39" t="str">
        <x:v>把缺的计算结果按上次那套补上。</x:v>
      </x:c>
      <x:c r="Y506" s="39" t="str">
        <x:v>不适用：当前题目在用户完成澄清前没有唯一的必需记忆。</x:v>
      </x:c>
      <x:c r="Z506" s="39" t="str">
        <x:v>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x:v>
      </x:c>
      <x:c r="AA506" s="39" t="str">
        <x:v>不适用：当前题目没有指定需要排除的冲突或禁止记忆。</x:v>
      </x:c>
      <x:c r="AB506" s="39" t="str">
        <x:v>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C506" s="39" t="str">
        <x:v>当前阶段不执行文件修改、数据处理、格式调整或结果导出。实际操作应当是先向用户完整列出并区分以下候选方案：1）在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只有在用户明确说明目标文件、工作表、范围、输出形式或具体方案后，才按照用户选定的对应记忆执行。</x:v>
      </x:c>
      <x:c r="AD506" s="39" t="str">
        <x:v>用户的完整请求是：“把缺的计算结果按上次那套补上。” 第1个当前上下文：MaturityDate.xlsx 已在 LibreOffice Calc 中打开。 第2个当前上下文：Employee_Age_By_Birthday.xlsx 已在 LibreOffice Calc 中打开。 第3个当前上下文：PeriodRate.xlsx 已在 LibreOffice Calc 中打开。 第4个当前上下文：Multiply_Time_Number.xlsx 已在 LibreOffice Calc 中打开。 当前请求只表达了“继续以前的做法”或“按之前方式处理”这类概括性目标，没有说明具体要得到哪一种结果。历史中同时存在以下完整候选记忆：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MaturityDate.xlsx 新增 Maturity Date 列，根据每笔贷款已有的日期和期限信息计算全部贷款的到期日；2）在 Employee_Age_By_Birthday.xlsx 中根据每位员工的生日计算对应年龄并填入目标区域；3）在 PeriodRate.xlsx 新增 Period Rate (%) 列计算各行期间利率，将结果转换为数值类型，并把最高值的字体设为绿色 #00ff00；4）在 Multiply_Time_Number.xlsx 中，先把以时间格式存储的总工时换算为小时数，再乘以小时费率，得到正确的总收入并填入目标单元格。在用户明确选择前，不应擅自执行其中任何一个方案。”</x:v>
      </x:c>
      <x:c r="AE50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第2个得分点（0.40分）：提出能够区分现有候选方案的澄清问题。该得分点所依据的完整证据为：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第3个得分点（0.10分）：澄清前不擅自选择任一候选记忆。该得分点所依据的完整证据为：
第1条记忆（短期/知识）：在 MaturityDate.xlsx 新增 Maturity Date 列，根据每笔贷款已有的日期和期限信息计算全部贷款的到期日。关键约束：新列标题必须为 Maturity Date；覆盖所有贷款记录；保留原始列。
第2条记忆（中期/知识）：在 Employee_Age_By_Birthday.xlsx 中根据每位员工的生日计算对应年龄并填入目标区域。关键约束：覆盖所有员工；依据生日计算；不修改无关区域或其他空白单元格。
第3条记忆（长期/知识）：在 PeriodRate.xlsx 新增 Period Rate (%) 列计算各行期间利率，将结果转换为数值类型，并把最高值的字体设为绿色 #00ff00。关键约束：列名为 Period Rate (%)；结果必须为数值；仅最高值使用绿色字体 #00ff00。
第4条记忆（短期/知识）：在 Multiply_Time_Number.xlsx 中，先把以时间格式存储的总工时换算为小时数，再乘以小时费率，得到正确的总收入并填入目标单元格。关键约束：不能直接把时间序列值当普通数值相乘；只填写目标结果；不修改无关空白区域。
人工复审时，应依据模型最终给出的信息和实际操作是否满足上述每个得分点分别给分；只命中记忆 ID 但没有形成对应结论不能获得该结论分，形成了正确结论但表达方式不同则不应扣分。</x:v>
      </x:c>
      <x:c r="AF506" s="50" t="str">
        <x:v>not_pass</x:v>
      </x:c>
      <x:c r="AG506" s="50" t="n">
        <x:v>0</x:v>
      </x:c>
    </x:row>
    <x:row r="507" ht="351" customHeight="1">
      <x:c r="A507" s="35" t="str">
        <x:v>V3_AQ10_Q01</x:v>
      </x:c>
      <x:c r="B507" s="36" t="str">
        <x:v>SG_CLARIFY_AQ10</x:v>
      </x:c>
      <x:c r="C507" s="36" t="str">
        <x:v>AQ10</x:v>
      </x:c>
      <x:c r="D507" s="36" t="str">
        <x:v>工作表布局操作不明确</x:v>
      </x:c>
      <x:c r="E507" s="36" t="str">
        <x:v>clarification_required</x:v>
      </x:c>
      <x:c r="F507" s="36" t="str">
        <x:v>human_context_explicit</x:v>
      </x:c>
      <x:c r="G507" s="36" t="str">
        <x:v>challenge</x:v>
      </x:c>
      <x:c r="H507" s="36" t="str">
        <x:v>困难</x:v>
      </x:c>
      <x:c r="I507" s="36" t="str">
        <x:v>0cecd4f3-74de-457b-ba94-29ad6b5dafb6|4188d3a4-077d-46b7-9c86-23e1a036f6c1|eb03d19a-b88d-4de4-8a64-ca0ac66f426b|7a4e4bc8-922c-4c84-865c-25ba34136be1|1d17d234-e39d-4ed7-b46f-4417922a4e7c</x:v>
      </x:c>
      <x:c r="J507" s="36" t="str">
        <x:v>CTX_0cecd4f3-74de-457b-ba94-29ad6b5dafb6|CTX_4188d3a4-077d-46b7-9c86-23e1a036f6c1|CTX_eb03d19a-b88d-4de4-8a64-ca0ac66f426b|CTX_7a4e4bc8-922c-4c84-865c-25ba34136be1|CTX_1d17d234-e39d-4ed7-b46f-4417922a4e7c</x:v>
      </x:c>
      <x:c r="K507" s="36" t="str"/>
      <x:c r="L507" s="36" t="str">
        <x:v>STM_0cecd4f3-74de-457b-ba94-29ad6b5dafb6|MTM_4188d3a4-077d-46b7-9c86-23e1a036f6c1|LTM_eb03d19a-b88d-4de4-8a64-ca0ac66f426b|LTM_7a4e4bc8-922c-4c84-865c-25ba34136be1|LTM_1d17d234-e39d-4ed7-b46f-4417922a4e7c</x:v>
      </x:c>
      <x:c r="M507" s="36" t="str"/>
      <x:c r="N507" s="36" t="str">
        <x:v>工作流程|可复用模板</x:v>
      </x:c>
      <x:c r="O507" s="36" t="str">
        <x:v>短期|中期|长期</x:v>
      </x:c>
      <x:c r="P507" s="36" t="str">
        <x:v>["libreoffice_calc"]</x:v>
      </x:c>
      <x:c r="Q507" s="36" t="str">
        <x:v>[]</x:v>
      </x:c>
      <x:c r="R507" s="36" t="str">
        <x:v>[]</x:v>
      </x:c>
      <x:c r="S507" s="36" t="str"/>
      <x:c r="T507" s="36" t="str">
        <x:v>copy_sheet_insert.xlsx|Freeze_row_column.xlsx|Students_Class_Subject_Marks.xlsx|Name_Order_Id_move_column.xlsx|FutureValue.xlsx</x:v>
      </x:c>
      <x:c r="U507" s="36" t="str">
        <x:v>ask_clarification</x:v>
      </x:c>
      <x:c r="V507" s="36" t="str">
        <x:v>[{"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x:v>
      </x:c>
      <x:c r="W507" s="36" t="str">
        <x:v>1.00</x:v>
      </x:c>
      <x:c r="X507" s="39" t="str">
        <x:v>这份工作簿的结构按之前的版式整理一下。</x:v>
      </x:c>
      <x:c r="Y507" s="39" t="str">
        <x:v>不适用：当前题目在用户完成澄清前没有唯一的必需记忆。</x:v>
      </x:c>
      <x:c r="Z507"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x:v>
      </x:c>
      <x:c r="AA507" s="39" t="str">
        <x:v>不适用：当前题目没有指定需要排除的冲突或禁止记忆。</x:v>
      </x:c>
      <x:c r="AB507" s="39" t="str">
        <x:v>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C507" s="39" t="str">
        <x:v>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x:v>
      </x:c>
      <x:c r="AD507" s="39" t="str">
        <x:v>用户的完整请求是：“这份工作簿的结构按之前的版式整理一下。”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E50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07" s="50" t="str">
        <x:v>not_pass</x:v>
      </x:c>
      <x:c r="AG507" s="50" t="n">
        <x:v>0</x:v>
      </x:c>
    </x:row>
    <x:row r="508" ht="351" customHeight="1">
      <x:c r="A508" s="35" t="str">
        <x:v>V3_AQ10_Q02</x:v>
      </x:c>
      <x:c r="B508" s="36" t="str">
        <x:v>SG_CLARIFY_AQ10</x:v>
      </x:c>
      <x:c r="C508" s="36" t="str">
        <x:v>AQ10</x:v>
      </x:c>
      <x:c r="D508" s="36" t="str">
        <x:v>工作表布局操作不明确</x:v>
      </x:c>
      <x:c r="E508" s="36" t="str">
        <x:v>clarification_required</x:v>
      </x:c>
      <x:c r="F508" s="36" t="str">
        <x:v>human_goal_oriented</x:v>
      </x:c>
      <x:c r="G508" s="36" t="str">
        <x:v>challenge</x:v>
      </x:c>
      <x:c r="H508" s="36" t="str">
        <x:v>困难</x:v>
      </x:c>
      <x:c r="I508" s="36" t="str">
        <x:v>0cecd4f3-74de-457b-ba94-29ad6b5dafb6|4188d3a4-077d-46b7-9c86-23e1a036f6c1|eb03d19a-b88d-4de4-8a64-ca0ac66f426b|7a4e4bc8-922c-4c84-865c-25ba34136be1|1d17d234-e39d-4ed7-b46f-4417922a4e7c</x:v>
      </x:c>
      <x:c r="J508" s="36" t="str">
        <x:v>CTX_0cecd4f3-74de-457b-ba94-29ad6b5dafb6|CTX_4188d3a4-077d-46b7-9c86-23e1a036f6c1|CTX_eb03d19a-b88d-4de4-8a64-ca0ac66f426b|CTX_7a4e4bc8-922c-4c84-865c-25ba34136be1|CTX_1d17d234-e39d-4ed7-b46f-4417922a4e7c</x:v>
      </x:c>
      <x:c r="K508" s="36" t="str"/>
      <x:c r="L508" s="36" t="str">
        <x:v>STM_0cecd4f3-74de-457b-ba94-29ad6b5dafb6|MTM_4188d3a4-077d-46b7-9c86-23e1a036f6c1|LTM_eb03d19a-b88d-4de4-8a64-ca0ac66f426b|LTM_7a4e4bc8-922c-4c84-865c-25ba34136be1|LTM_1d17d234-e39d-4ed7-b46f-4417922a4e7c</x:v>
      </x:c>
      <x:c r="M508" s="36" t="str"/>
      <x:c r="N508" s="36" t="str">
        <x:v>工作流程|可复用模板</x:v>
      </x:c>
      <x:c r="O508" s="36" t="str">
        <x:v>短期|中期|长期</x:v>
      </x:c>
      <x:c r="P508" s="36" t="str">
        <x:v>["libreoffice_calc"]</x:v>
      </x:c>
      <x:c r="Q508" s="36" t="str">
        <x:v>[]</x:v>
      </x:c>
      <x:c r="R508" s="36" t="str">
        <x:v>[]</x:v>
      </x:c>
      <x:c r="S508" s="36" t="str"/>
      <x:c r="T508" s="36" t="str">
        <x:v>copy_sheet_insert.xlsx|Freeze_row_column.xlsx|Students_Class_Subject_Marks.xlsx|Name_Order_Id_move_column.xlsx|FutureValue.xlsx</x:v>
      </x:c>
      <x:c r="U508" s="36" t="str">
        <x:v>ask_clarification</x:v>
      </x:c>
      <x:c r="V508" s="36" t="str">
        <x:v>[{"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x:v>
      </x:c>
      <x:c r="W508" s="36" t="str">
        <x:v>1.00</x:v>
      </x:c>
      <x:c r="X508" s="39" t="str">
        <x:v>表和列的位置继续沿用上次的调整方式。</x:v>
      </x:c>
      <x:c r="Y508" s="39" t="str">
        <x:v>不适用：当前题目在用户完成澄清前没有唯一的必需记忆。</x:v>
      </x:c>
      <x:c r="Z508"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x:v>
      </x:c>
      <x:c r="AA508" s="39" t="str">
        <x:v>不适用：当前题目没有指定需要排除的冲突或禁止记忆。</x:v>
      </x:c>
      <x:c r="AB508" s="39" t="str">
        <x:v>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C508" s="39" t="str">
        <x:v>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x:v>
      </x:c>
      <x:c r="AD508" s="39" t="str">
        <x:v>用户的完整请求是：“表和列的位置继续沿用上次的调整方式。”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E50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08" s="50" t="str">
        <x:v>not_pass</x:v>
      </x:c>
      <x:c r="AG508" s="50" t="n">
        <x:v>0</x:v>
      </x:c>
    </x:row>
    <x:row r="509" ht="351" customHeight="1">
      <x:c r="A509" s="35" t="str">
        <x:v>V3_AQ10_Q03</x:v>
      </x:c>
      <x:c r="B509" s="36" t="str">
        <x:v>SG_CLARIFY_AQ10</x:v>
      </x:c>
      <x:c r="C509" s="36" t="str">
        <x:v>AQ10</x:v>
      </x:c>
      <x:c r="D509" s="36" t="str">
        <x:v>工作表布局操作不明确</x:v>
      </x:c>
      <x:c r="E509" s="36" t="str">
        <x:v>clarification_required</x:v>
      </x:c>
      <x:c r="F509" s="36" t="str">
        <x:v>contextual_ellipsis</x:v>
      </x:c>
      <x:c r="G509" s="36" t="str">
        <x:v>challenge</x:v>
      </x:c>
      <x:c r="H509" s="36" t="str">
        <x:v>困难</x:v>
      </x:c>
      <x:c r="I509" s="36" t="str">
        <x:v>0cecd4f3-74de-457b-ba94-29ad6b5dafb6|4188d3a4-077d-46b7-9c86-23e1a036f6c1|eb03d19a-b88d-4de4-8a64-ca0ac66f426b|7a4e4bc8-922c-4c84-865c-25ba34136be1|1d17d234-e39d-4ed7-b46f-4417922a4e7c</x:v>
      </x:c>
      <x:c r="J509" s="36" t="str">
        <x:v>CTX_0cecd4f3-74de-457b-ba94-29ad6b5dafb6|CTX_4188d3a4-077d-46b7-9c86-23e1a036f6c1|CTX_eb03d19a-b88d-4de4-8a64-ca0ac66f426b|CTX_7a4e4bc8-922c-4c84-865c-25ba34136be1|CTX_1d17d234-e39d-4ed7-b46f-4417922a4e7c</x:v>
      </x:c>
      <x:c r="K509" s="36" t="str"/>
      <x:c r="L509" s="36" t="str">
        <x:v>STM_0cecd4f3-74de-457b-ba94-29ad6b5dafb6|MTM_4188d3a4-077d-46b7-9c86-23e1a036f6c1|LTM_eb03d19a-b88d-4de4-8a64-ca0ac66f426b|LTM_7a4e4bc8-922c-4c84-865c-25ba34136be1|LTM_1d17d234-e39d-4ed7-b46f-4417922a4e7c</x:v>
      </x:c>
      <x:c r="M509" s="36" t="str"/>
      <x:c r="N509" s="36" t="str">
        <x:v>工作流程|可复用模板</x:v>
      </x:c>
      <x:c r="O509" s="36" t="str">
        <x:v>短期|中期|长期</x:v>
      </x:c>
      <x:c r="P509" s="36" t="str">
        <x:v>["libreoffice_calc"]</x:v>
      </x:c>
      <x:c r="Q509" s="36" t="str">
        <x:v>[]</x:v>
      </x:c>
      <x:c r="R509" s="36" t="str">
        <x:v>[]</x:v>
      </x:c>
      <x:c r="S509" s="36" t="str"/>
      <x:c r="T509" s="36" t="str">
        <x:v>copy_sheet_insert.xlsx|Freeze_row_column.xlsx|Students_Class_Subject_Marks.xlsx|Name_Order_Id_move_column.xlsx|FutureValue.xlsx</x:v>
      </x:c>
      <x:c r="U509" s="36" t="str">
        <x:v>ask_clarification</x:v>
      </x:c>
      <x:c r="V509" s="36" t="str">
        <x:v>[{"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x:v>
      </x:c>
      <x:c r="W509" s="36" t="str">
        <x:v>1.00</x:v>
      </x:c>
      <x:c r="X509" s="39" t="str">
        <x:v>工作簿已经打开了，布局照旧处理。</x:v>
      </x:c>
      <x:c r="Y509" s="39" t="str">
        <x:v>不适用：当前题目在用户完成澄清前没有唯一的必需记忆。</x:v>
      </x:c>
      <x:c r="Z509"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x:v>
      </x:c>
      <x:c r="AA509" s="39" t="str">
        <x:v>不适用：当前题目没有指定需要排除的冲突或禁止记忆。</x:v>
      </x:c>
      <x:c r="AB509" s="39" t="str">
        <x:v>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C509" s="39" t="str">
        <x:v>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x:v>
      </x:c>
      <x:c r="AD509" s="39" t="str">
        <x:v>用户的完整请求是：“工作簿已经打开了，布局照旧处理。”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E50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09" s="50" t="str">
        <x:v>not_pass</x:v>
      </x:c>
      <x:c r="AG509" s="50" t="n">
        <x:v>0</x:v>
      </x:c>
    </x:row>
    <x:row r="510" ht="351" customHeight="1">
      <x:c r="A510" s="35" t="str">
        <x:v>V3_AQ10_Q04</x:v>
      </x:c>
      <x:c r="B510" s="36" t="str">
        <x:v>SG_CLARIFY_AQ10</x:v>
      </x:c>
      <x:c r="C510" s="36" t="str">
        <x:v>AQ10</x:v>
      </x:c>
      <x:c r="D510" s="36" t="str">
        <x:v>工作表布局操作不明确</x:v>
      </x:c>
      <x:c r="E510" s="36" t="str">
        <x:v>clarification_required</x:v>
      </x:c>
      <x:c r="F510" s="36" t="str">
        <x:v>low_overlap_paraphrase</x:v>
      </x:c>
      <x:c r="G510" s="36" t="str">
        <x:v>challenge</x:v>
      </x:c>
      <x:c r="H510" s="36" t="str">
        <x:v>困难</x:v>
      </x:c>
      <x:c r="I510" s="36" t="str">
        <x:v>0cecd4f3-74de-457b-ba94-29ad6b5dafb6|4188d3a4-077d-46b7-9c86-23e1a036f6c1|eb03d19a-b88d-4de4-8a64-ca0ac66f426b|7a4e4bc8-922c-4c84-865c-25ba34136be1|1d17d234-e39d-4ed7-b46f-4417922a4e7c</x:v>
      </x:c>
      <x:c r="J510" s="36" t="str">
        <x:v>CTX_0cecd4f3-74de-457b-ba94-29ad6b5dafb6|CTX_4188d3a4-077d-46b7-9c86-23e1a036f6c1|CTX_eb03d19a-b88d-4de4-8a64-ca0ac66f426b|CTX_7a4e4bc8-922c-4c84-865c-25ba34136be1|CTX_1d17d234-e39d-4ed7-b46f-4417922a4e7c</x:v>
      </x:c>
      <x:c r="K510" s="36" t="str"/>
      <x:c r="L510" s="36" t="str">
        <x:v>STM_0cecd4f3-74de-457b-ba94-29ad6b5dafb6|MTM_4188d3a4-077d-46b7-9c86-23e1a036f6c1|LTM_eb03d19a-b88d-4de4-8a64-ca0ac66f426b|LTM_7a4e4bc8-922c-4c84-865c-25ba34136be1|LTM_1d17d234-e39d-4ed7-b46f-4417922a4e7c</x:v>
      </x:c>
      <x:c r="M510" s="36" t="str"/>
      <x:c r="N510" s="36" t="str">
        <x:v>工作流程|可复用模板</x:v>
      </x:c>
      <x:c r="O510" s="36" t="str">
        <x:v>短期|中期|长期</x:v>
      </x:c>
      <x:c r="P510" s="36" t="str">
        <x:v>["libreoffice_calc"]</x:v>
      </x:c>
      <x:c r="Q510" s="36" t="str">
        <x:v>[]</x:v>
      </x:c>
      <x:c r="R510" s="36" t="str">
        <x:v>[]</x:v>
      </x:c>
      <x:c r="S510" s="36" t="str"/>
      <x:c r="T510" s="36" t="str">
        <x:v>copy_sheet_insert.xlsx|Freeze_row_column.xlsx|Students_Class_Subject_Marks.xlsx|Name_Order_Id_move_column.xlsx|FutureValue.xlsx</x:v>
      </x:c>
      <x:c r="U510" s="36" t="str">
        <x:v>ask_clarification</x:v>
      </x:c>
      <x:c r="V510" s="36" t="str">
        <x:v>[{"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x:v>
      </x:c>
      <x:c r="W510" s="36" t="str">
        <x:v>1.00</x:v>
      </x:c>
      <x:c r="X510" s="39" t="str">
        <x:v>把这份表整理成我们以前交付的结构。</x:v>
      </x:c>
      <x:c r="Y510" s="39" t="str">
        <x:v>不适用：当前题目在用户完成澄清前没有唯一的必需记忆。</x:v>
      </x:c>
      <x:c r="Z510"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x:v>
      </x:c>
      <x:c r="AA510" s="39" t="str">
        <x:v>不适用：当前题目没有指定需要排除的冲突或禁止记忆。</x:v>
      </x:c>
      <x:c r="AB510" s="39" t="str">
        <x:v>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C510" s="39" t="str">
        <x:v>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x:v>
      </x:c>
      <x:c r="AD510" s="39" t="str">
        <x:v>用户的完整请求是：“把这份表整理成我们以前交付的结构。”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E51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10" s="50" t="str">
        <x:v>not_pass</x:v>
      </x:c>
      <x:c r="AG510" s="50" t="n">
        <x:v>0</x:v>
      </x:c>
    </x:row>
    <x:row r="511" ht="351" customHeight="1">
      <x:c r="A511" s="35" t="str">
        <x:v>V3_AQ10_Q05</x:v>
      </x:c>
      <x:c r="B511" s="36" t="str">
        <x:v>SG_CLARIFY_AQ10</x:v>
      </x:c>
      <x:c r="C511" s="36" t="str">
        <x:v>AQ10</x:v>
      </x:c>
      <x:c r="D511" s="36" t="str">
        <x:v>工作表布局操作不明确</x:v>
      </x:c>
      <x:c r="E511" s="36" t="str">
        <x:v>clarification_required</x:v>
      </x:c>
      <x:c r="F511" s="36" t="str">
        <x:v>human_constraint_emphasis</x:v>
      </x:c>
      <x:c r="G511" s="36" t="str">
        <x:v>challenge</x:v>
      </x:c>
      <x:c r="H511" s="36" t="str">
        <x:v>困难</x:v>
      </x:c>
      <x:c r="I511" s="36" t="str">
        <x:v>0cecd4f3-74de-457b-ba94-29ad6b5dafb6|4188d3a4-077d-46b7-9c86-23e1a036f6c1|eb03d19a-b88d-4de4-8a64-ca0ac66f426b|7a4e4bc8-922c-4c84-865c-25ba34136be1|1d17d234-e39d-4ed7-b46f-4417922a4e7c</x:v>
      </x:c>
      <x:c r="J511" s="36" t="str">
        <x:v>CTX_0cecd4f3-74de-457b-ba94-29ad6b5dafb6|CTX_4188d3a4-077d-46b7-9c86-23e1a036f6c1|CTX_eb03d19a-b88d-4de4-8a64-ca0ac66f426b|CTX_7a4e4bc8-922c-4c84-865c-25ba34136be1|CTX_1d17d234-e39d-4ed7-b46f-4417922a4e7c</x:v>
      </x:c>
      <x:c r="K511" s="36" t="str"/>
      <x:c r="L511" s="36" t="str">
        <x:v>STM_0cecd4f3-74de-457b-ba94-29ad6b5dafb6|MTM_4188d3a4-077d-46b7-9c86-23e1a036f6c1|LTM_eb03d19a-b88d-4de4-8a64-ca0ac66f426b|LTM_7a4e4bc8-922c-4c84-865c-25ba34136be1|LTM_1d17d234-e39d-4ed7-b46f-4417922a4e7c</x:v>
      </x:c>
      <x:c r="M511" s="36" t="str"/>
      <x:c r="N511" s="36" t="str">
        <x:v>工作流程|可复用模板</x:v>
      </x:c>
      <x:c r="O511" s="36" t="str">
        <x:v>短期|中期|长期</x:v>
      </x:c>
      <x:c r="P511" s="36" t="str">
        <x:v>["libreoffice_calc"]</x:v>
      </x:c>
      <x:c r="Q511" s="36" t="str">
        <x:v>[]</x:v>
      </x:c>
      <x:c r="R511" s="36" t="str">
        <x:v>[]</x:v>
      </x:c>
      <x:c r="S511" s="36" t="str"/>
      <x:c r="T511" s="36" t="str">
        <x:v>copy_sheet_insert.xlsx|Freeze_row_column.xlsx|Students_Class_Subject_Marks.xlsx|Name_Order_Id_move_column.xlsx|FutureValue.xlsx</x:v>
      </x:c>
      <x:c r="U511" s="36" t="str">
        <x:v>ask_clarification</x:v>
      </x:c>
      <x:c r="V511" s="36" t="str">
        <x:v>[{"point_id":"P1","description":"识别当前信息不足以唯一确定历史方案，不直接执行","weight":0.5,"evidence_memory_ids":["STM_0cecd4f3-74de-457b-ba94-29ad6b5dafb6","MTM_4188d3a4-077d-46b7-9c86-23e1a036f6c1","LTM_eb03d19a-b88d-4de4-8a64-ca0ac66f426b","LTM_7a4e4bc8-922c-4c84-865c-25ba34136be1","LTM_1d17d234-e39d-4ed7-b46f-4417922a4e7c"]},{"point_id":"P2","description":"提出能够区分现有候选方案的澄清问题","weight":0.4,"evidence_memory_ids":["STM_0cecd4f3-74de-457b-ba94-29ad6b5dafb6","MTM_4188d3a4-077d-46b7-9c86-23e1a036f6c1","LTM_eb03d19a-b88d-4de4-8a64-ca0ac66f426b","LTM_7a4e4bc8-922c-4c84-865c-25ba34136be1","LTM_1d17d234-e39d-4ed7-b46f-4417922a4e7c"]},{"point_id":"P3","description":"澄清前不擅自选择任一候选记忆","weight":0.1,"evidence_memory_ids":["STM_0cecd4f3-74de-457b-ba94-29ad6b5dafb6","MTM_4188d3a4-077d-46b7-9c86-23e1a036f6c1","LTM_eb03d19a-b88d-4de4-8a64-ca0ac66f426b","LTM_7a4e4bc8-922c-4c84-865c-25ba34136be1","LTM_1d17d234-e39d-4ed7-b46f-4417922a4e7c"]}]</x:v>
      </x:c>
      <x:c r="W511" s="36" t="str">
        <x:v>1.00</x:v>
      </x:c>
      <x:c r="X511" s="39" t="str">
        <x:v>这次还是按之前的工作表布局来做。</x:v>
      </x:c>
      <x:c r="Y511" s="39" t="str">
        <x:v>不适用：当前题目在用户完成澄清前没有唯一的必需记忆。</x:v>
      </x:c>
      <x:c r="Z511" s="39" t="str">
        <x:v>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x:v>
      </x:c>
      <x:c r="AA511" s="39" t="str">
        <x:v>不适用：当前题目没有指定需要排除的冲突或禁止记忆。</x:v>
      </x:c>
      <x:c r="AB511" s="39" t="str">
        <x:v>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C511" s="39" t="str">
        <x:v>当前阶段不执行文件修改、数据处理、格式调整或结果导出。实际操作应当是先向用户完整列出并区分以下候选方案：1）在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Rate。只有在用户明确说明目标文件、工作表、范围、输出形式或具体方案后，才按照用户选定的对应记忆执行。</x:v>
      </x:c>
      <x:c r="AD511" s="39" t="str">
        <x:v>用户的完整请求是：“这次还是按之前的工作表布局来做。” 第1个当前上下文：copy_sheet_insert.xlsx 已在 LibreOffice Calc 中打开。 第2个当前上下文：Freeze_row_column.xlsx 已在 LibreOffice Calc 中打开。 第3个当前上下文：Students_Class_Subject_Marks.xlsx 已在 LibreOffice Calc 中打开。 第4个当前上下文：Name_Order_Id_move_column.xlsx 已在 LibreOffice Calc 中打开。 第5个当前上下文：FutureValue.xlsx 已在 LibreOffice Calc 中打开。 当前请求只表达了“继续以前的做法”或“按之前方式处理”这类概括性目标，没有说明具体要得到哪一种结果。历史中同时存在以下完整候选记忆：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copy_sheet_insert.xlsx 中把 Sheet 1 改名为 LARS Resources，复制该表并放到 Sheet 2 前，副本命名为 LARS Resources (Backup)，同时把 Sheet2 改名为 LARS Resources (Offline)；2）在 Freeze_row_column.xlsx 中冻结 A1:B1 对应的表头区域，使滚动工作表时这些表头保持可见；3）在 Students_Class_Subject_Marks.xlsx 中转置 B2:F5 表格，并把转置结果粘贴到以 B8 为左上角的区域；4）在 Name_Order_Id_move_column.xlsx 中把列顺序调整为 Date、First Name、Last Name、Order ID、Sales；5）在 FutureValue.xlsx 新建 Sheet2，合并 A1:C1 写入 Investment Summary；合并 A2:B2 写入 High Interest Rate；合并 C2:D2 写入 Low Interest Rate。在用户明确选择前，不应擅自执行其中任何一个方案。”</x:v>
      </x:c>
      <x:c r="AE51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第2个得分点（0.40分）：提出能够区分现有候选方案的澄清问题。该得分点所依据的完整证据为：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第3个得分点（0.10分）：澄清前不擅自选择任一候选记忆。该得分点所依据的完整证据为：
第1条记忆（短期/工作流程）：在 copy_sheet_insert.xlsx 中把 Sheet 1 改名为 LARS Resources，复制该表并放到 Sheet 2 前，副本命名为 LARS Resources (Backup)，同时把 Sheet2 改名为 LARS Resources (Offline)。关键约束：副本位于原 Sheet 2 前；Backup 前有空格；三个目标名称必须完全一致。
第2条记忆（中期/工作流程）：在 Freeze_row_column.xlsx 中冻结 A1:B1 对应的表头区域，使滚动工作表时这些表头保持可见。关键约束：冻结目标为 A1:B1；不修改表头内容或其他格式。
第3条记忆（长期/工作流程）：在 Students_Class_Subject_Marks.xlsx 中转置 B2:F5 表格，并把转置结果粘贴到以 B8 为左上角的区域。关键约束：源范围为 B2:F5；执行矩阵转置；目标左上角必须是 B8。
第4条记忆（长期/工作流程）：在 Name_Order_Id_move_column.xlsx 中把列顺序调整为 Date、First Name、Last Name、Order ID、Sales。关键约束：五列顺序必须完全一致；整列数据随表头移动；不修改无关区域。
第5条记忆（长期/可复用模板）：在 FutureValue.xlsx 新建 Sheet2，合并 A1:C1 写入 Investment Summary；合并 A2:B2 写入 High Interest Rate；合并 C2:D2 写入 Low Interest Rate。关键约束：必须使用指定合并范围和英文标题；所有内容位于新建 Sheet2。
人工复审时，应依据模型最终给出的信息和实际操作是否满足上述每个得分点分别给分；只命中记忆 ID 但没有形成对应结论不能获得该结论分，形成了正确结论但表达方式不同则不应扣分。</x:v>
      </x:c>
      <x:c r="AF511" s="50" t="str">
        <x:v>not_pass</x:v>
      </x:c>
      <x:c r="AG511" s="50" t="n">
        <x:v>0</x:v>
      </x:c>
    </x:row>
    <x:row r="512" ht="243" customHeight="1">
      <x:c r="A512" s="35" t="str">
        <x:v>V3_AQ11_Q01</x:v>
      </x:c>
      <x:c r="B512" s="36" t="str">
        <x:v>SG_CLARIFY_AQ11</x:v>
      </x:c>
      <x:c r="C512" s="36" t="str">
        <x:v>AQ11</x:v>
      </x:c>
      <x:c r="D512" s="36" t="str">
        <x:v>订单字段操作不明确</x:v>
      </x:c>
      <x:c r="E512" s="36" t="str">
        <x:v>clarification_required</x:v>
      </x:c>
      <x:c r="F512" s="36" t="str">
        <x:v>human_context_explicit</x:v>
      </x:c>
      <x:c r="G512" s="36" t="str">
        <x:v>challenge</x:v>
      </x:c>
      <x:c r="H512" s="36" t="str">
        <x:v>困难</x:v>
      </x:c>
      <x:c r="I512" s="36" t="str">
        <x:v>2bd59342-0664-4ccb-ba87-79379096cc08|7efeb4b1-3d19-4762-b163-63328d66303b|ecb0df7a-4e8d-4a03-b162-053391d3afaf</x:v>
      </x:c>
      <x:c r="J512" s="36" t="str">
        <x:v>CTX_2bd59342-0664-4ccb-ba87-79379096cc08|CTX_7efeb4b1-3d19-4762-b163-63328d66303b|CTX_ecb0df7a-4e8d-4a03-b162-053391d3afaf</x:v>
      </x:c>
      <x:c r="K512" s="36" t="str"/>
      <x:c r="L512" s="36" t="str">
        <x:v>STM_2bd59342-0664-4ccb-ba87-79379096cc08|MTM_7efeb4b1-3d19-4762-b163-63328d66303b|STM_ecb0df7a-4e8d-4a03-b162-053391d3afaf</x:v>
      </x:c>
      <x:c r="M512" s="36" t="str"/>
      <x:c r="N512" s="36" t="str">
        <x:v>工作流程|可复用模板</x:v>
      </x:c>
      <x:c r="O512" s="36" t="str">
        <x:v>短期|中期</x:v>
      </x:c>
      <x:c r="P512" s="36" t="str">
        <x:v>["libreoffice_calc"]</x:v>
      </x:c>
      <x:c r="Q512" s="36" t="str">
        <x:v>[]</x:v>
      </x:c>
      <x:c r="R512" s="36" t="str">
        <x:v>[]</x:v>
      </x:c>
      <x:c r="S512" s="36" t="str"/>
      <x:c r="T512" s="36" t="str">
        <x:v>OrderId_Month_Chart.xlsx|Order_Sales_Serial#.xlsx|Order_Id_Mark_Pass_Fail.xlsx</x:v>
      </x:c>
      <x:c r="U512" s="36" t="str">
        <x:v>ask_clarification</x:v>
      </x:c>
      <x:c r="V512" s="36" t="str">
        <x:v>[{"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x:v>
      </x:c>
      <x:c r="W512" s="36" t="str">
        <x:v>1.00</x:v>
      </x:c>
      <x:c r="X512" s="39" t="str">
        <x:v>订单表的目标列按之前的方式处理。</x:v>
      </x:c>
      <x:c r="Y512" s="39" t="str">
        <x:v>不适用：当前题目在用户完成澄清前没有唯一的必需记忆。</x:v>
      </x:c>
      <x:c r="Z512"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AA512" s="39" t="str">
        <x:v>不适用：当前题目没有指定需要排除的冲突或禁止记忆。</x:v>
      </x:c>
      <x:c r="AB512" s="39" t="str">
        <x:v>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C512" s="39" t="str">
        <x:v>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x:v>
      </x:c>
      <x:c r="AD512" s="39" t="str">
        <x:v>用户的完整请求是：“订单表的目标列按之前的方式处理。”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E51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512" s="50" t="str">
        <x:v>not_pass</x:v>
      </x:c>
      <x:c r="AG512" s="50" t="n">
        <x:v>0</x:v>
      </x:c>
    </x:row>
    <x:row r="513" ht="243" customHeight="1">
      <x:c r="A513" s="35" t="str">
        <x:v>V3_AQ11_Q02</x:v>
      </x:c>
      <x:c r="B513" s="36" t="str">
        <x:v>SG_CLARIFY_AQ11</x:v>
      </x:c>
      <x:c r="C513" s="36" t="str">
        <x:v>AQ11</x:v>
      </x:c>
      <x:c r="D513" s="36" t="str">
        <x:v>订单字段操作不明确</x:v>
      </x:c>
      <x:c r="E513" s="36" t="str">
        <x:v>clarification_required</x:v>
      </x:c>
      <x:c r="F513" s="36" t="str">
        <x:v>human_goal_oriented</x:v>
      </x:c>
      <x:c r="G513" s="36" t="str">
        <x:v>challenge</x:v>
      </x:c>
      <x:c r="H513" s="36" t="str">
        <x:v>困难</x:v>
      </x:c>
      <x:c r="I513" s="36" t="str">
        <x:v>2bd59342-0664-4ccb-ba87-79379096cc08|7efeb4b1-3d19-4762-b163-63328d66303b|ecb0df7a-4e8d-4a03-b162-053391d3afaf</x:v>
      </x:c>
      <x:c r="J513" s="36" t="str">
        <x:v>CTX_2bd59342-0664-4ccb-ba87-79379096cc08|CTX_7efeb4b1-3d19-4762-b163-63328d66303b|CTX_ecb0df7a-4e8d-4a03-b162-053391d3afaf</x:v>
      </x:c>
      <x:c r="K513" s="36" t="str"/>
      <x:c r="L513" s="36" t="str">
        <x:v>STM_2bd59342-0664-4ccb-ba87-79379096cc08|MTM_7efeb4b1-3d19-4762-b163-63328d66303b|STM_ecb0df7a-4e8d-4a03-b162-053391d3afaf</x:v>
      </x:c>
      <x:c r="M513" s="36" t="str"/>
      <x:c r="N513" s="36" t="str">
        <x:v>工作流程|可复用模板</x:v>
      </x:c>
      <x:c r="O513" s="36" t="str">
        <x:v>短期|中期</x:v>
      </x:c>
      <x:c r="P513" s="36" t="str">
        <x:v>["libreoffice_calc"]</x:v>
      </x:c>
      <x:c r="Q513" s="36" t="str">
        <x:v>[]</x:v>
      </x:c>
      <x:c r="R513" s="36" t="str">
        <x:v>[]</x:v>
      </x:c>
      <x:c r="S513" s="36" t="str"/>
      <x:c r="T513" s="36" t="str">
        <x:v>OrderId_Month_Chart.xlsx|Order_Sales_Serial#.xlsx|Order_Id_Mark_Pass_Fail.xlsx</x:v>
      </x:c>
      <x:c r="U513" s="36" t="str">
        <x:v>ask_clarification</x:v>
      </x:c>
      <x:c r="V513" s="36" t="str">
        <x:v>[{"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x:v>
      </x:c>
      <x:c r="W513" s="36" t="str">
        <x:v>1.00</x:v>
      </x:c>
      <x:c r="X513" s="39" t="str">
        <x:v>这份订单记录继续做上次那个结果。</x:v>
      </x:c>
      <x:c r="Y513" s="39" t="str">
        <x:v>不适用：当前题目在用户完成澄清前没有唯一的必需记忆。</x:v>
      </x:c>
      <x:c r="Z513"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AA513" s="39" t="str">
        <x:v>不适用：当前题目没有指定需要排除的冲突或禁止记忆。</x:v>
      </x:c>
      <x:c r="AB513" s="39" t="str">
        <x:v>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C513" s="39" t="str">
        <x:v>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x:v>
      </x:c>
      <x:c r="AD513" s="39" t="str">
        <x:v>用户的完整请求是：“这份订单记录继续做上次那个结果。”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E51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513" s="50" t="str">
        <x:v>not_pass</x:v>
      </x:c>
      <x:c r="AG513" s="50" t="n">
        <x:v>0</x:v>
      </x:c>
    </x:row>
    <x:row r="514" ht="243" customHeight="1">
      <x:c r="A514" s="35" t="str">
        <x:v>V3_AQ11_Q03</x:v>
      </x:c>
      <x:c r="B514" s="36" t="str">
        <x:v>SG_CLARIFY_AQ11</x:v>
      </x:c>
      <x:c r="C514" s="36" t="str">
        <x:v>AQ11</x:v>
      </x:c>
      <x:c r="D514" s="36" t="str">
        <x:v>订单字段操作不明确</x:v>
      </x:c>
      <x:c r="E514" s="36" t="str">
        <x:v>clarification_required</x:v>
      </x:c>
      <x:c r="F514" s="36" t="str">
        <x:v>contextual_ellipsis</x:v>
      </x:c>
      <x:c r="G514" s="36" t="str">
        <x:v>challenge</x:v>
      </x:c>
      <x:c r="H514" s="36" t="str">
        <x:v>困难</x:v>
      </x:c>
      <x:c r="I514" s="36" t="str">
        <x:v>2bd59342-0664-4ccb-ba87-79379096cc08|7efeb4b1-3d19-4762-b163-63328d66303b|ecb0df7a-4e8d-4a03-b162-053391d3afaf</x:v>
      </x:c>
      <x:c r="J514" s="36" t="str">
        <x:v>CTX_2bd59342-0664-4ccb-ba87-79379096cc08|CTX_7efeb4b1-3d19-4762-b163-63328d66303b|CTX_ecb0df7a-4e8d-4a03-b162-053391d3afaf</x:v>
      </x:c>
      <x:c r="K514" s="36" t="str"/>
      <x:c r="L514" s="36" t="str">
        <x:v>STM_2bd59342-0664-4ccb-ba87-79379096cc08|MTM_7efeb4b1-3d19-4762-b163-63328d66303b|STM_ecb0df7a-4e8d-4a03-b162-053391d3afaf</x:v>
      </x:c>
      <x:c r="M514" s="36" t="str"/>
      <x:c r="N514" s="36" t="str">
        <x:v>工作流程|可复用模板</x:v>
      </x:c>
      <x:c r="O514" s="36" t="str">
        <x:v>短期|中期</x:v>
      </x:c>
      <x:c r="P514" s="36" t="str">
        <x:v>["libreoffice_calc"]</x:v>
      </x:c>
      <x:c r="Q514" s="36" t="str">
        <x:v>[]</x:v>
      </x:c>
      <x:c r="R514" s="36" t="str">
        <x:v>[]</x:v>
      </x:c>
      <x:c r="S514" s="36" t="str"/>
      <x:c r="T514" s="36" t="str">
        <x:v>OrderId_Month_Chart.xlsx|Order_Sales_Serial#.xlsx|Order_Id_Mark_Pass_Fail.xlsx</x:v>
      </x:c>
      <x:c r="U514" s="36" t="str">
        <x:v>ask_clarification</x:v>
      </x:c>
      <x:c r="V514" s="36" t="str">
        <x:v>[{"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x:v>
      </x:c>
      <x:c r="W514" s="36" t="str">
        <x:v>1.00</x:v>
      </x:c>
      <x:c r="X514" s="39" t="str">
        <x:v>订单文件已经打开了，目标字段照旧补好。</x:v>
      </x:c>
      <x:c r="Y514" s="39" t="str">
        <x:v>不适用：当前题目在用户完成澄清前没有唯一的必需记忆。</x:v>
      </x:c>
      <x:c r="Z514"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AA514" s="39" t="str">
        <x:v>不适用：当前题目没有指定需要排除的冲突或禁止记忆。</x:v>
      </x:c>
      <x:c r="AB514" s="39" t="str">
        <x:v>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C514" s="39" t="str">
        <x:v>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x:v>
      </x:c>
      <x:c r="AD514" s="39" t="str">
        <x:v>用户的完整请求是：“订单文件已经打开了，目标字段照旧补好。”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E51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514" s="50" t="str">
        <x:v>not_pass</x:v>
      </x:c>
      <x:c r="AG514" s="50" t="n">
        <x:v>0</x:v>
      </x:c>
    </x:row>
    <x:row r="515" ht="243" customHeight="1">
      <x:c r="A515" s="35" t="str">
        <x:v>V3_AQ11_Q04</x:v>
      </x:c>
      <x:c r="B515" s="36" t="str">
        <x:v>SG_CLARIFY_AQ11</x:v>
      </x:c>
      <x:c r="C515" s="36" t="str">
        <x:v>AQ11</x:v>
      </x:c>
      <x:c r="D515" s="36" t="str">
        <x:v>订单字段操作不明确</x:v>
      </x:c>
      <x:c r="E515" s="36" t="str">
        <x:v>clarification_required</x:v>
      </x:c>
      <x:c r="F515" s="36" t="str">
        <x:v>low_overlap_paraphrase</x:v>
      </x:c>
      <x:c r="G515" s="36" t="str">
        <x:v>challenge</x:v>
      </x:c>
      <x:c r="H515" s="36" t="str">
        <x:v>困难</x:v>
      </x:c>
      <x:c r="I515" s="36" t="str">
        <x:v>2bd59342-0664-4ccb-ba87-79379096cc08|7efeb4b1-3d19-4762-b163-63328d66303b|ecb0df7a-4e8d-4a03-b162-053391d3afaf</x:v>
      </x:c>
      <x:c r="J515" s="36" t="str">
        <x:v>CTX_2bd59342-0664-4ccb-ba87-79379096cc08|CTX_7efeb4b1-3d19-4762-b163-63328d66303b|CTX_ecb0df7a-4e8d-4a03-b162-053391d3afaf</x:v>
      </x:c>
      <x:c r="K515" s="36" t="str"/>
      <x:c r="L515" s="36" t="str">
        <x:v>STM_2bd59342-0664-4ccb-ba87-79379096cc08|MTM_7efeb4b1-3d19-4762-b163-63328d66303b|STM_ecb0df7a-4e8d-4a03-b162-053391d3afaf</x:v>
      </x:c>
      <x:c r="M515" s="36" t="str"/>
      <x:c r="N515" s="36" t="str">
        <x:v>工作流程|可复用模板</x:v>
      </x:c>
      <x:c r="O515" s="36" t="str">
        <x:v>短期|中期</x:v>
      </x:c>
      <x:c r="P515" s="36" t="str">
        <x:v>["libreoffice_calc"]</x:v>
      </x:c>
      <x:c r="Q515" s="36" t="str">
        <x:v>[]</x:v>
      </x:c>
      <x:c r="R515" s="36" t="str">
        <x:v>[]</x:v>
      </x:c>
      <x:c r="S515" s="36" t="str"/>
      <x:c r="T515" s="36" t="str">
        <x:v>OrderId_Month_Chart.xlsx|Order_Sales_Serial#.xlsx|Order_Id_Mark_Pass_Fail.xlsx</x:v>
      </x:c>
      <x:c r="U515" s="36" t="str">
        <x:v>ask_clarification</x:v>
      </x:c>
      <x:c r="V515" s="36" t="str">
        <x:v>[{"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x:v>
      </x:c>
      <x:c r="W515" s="36" t="str">
        <x:v>1.00</x:v>
      </x:c>
      <x:c r="X515" s="39" t="str">
        <x:v>把订单表按以前的版本整理一下。</x:v>
      </x:c>
      <x:c r="Y515" s="39" t="str">
        <x:v>不适用：当前题目在用户完成澄清前没有唯一的必需记忆。</x:v>
      </x:c>
      <x:c r="Z515"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AA515" s="39" t="str">
        <x:v>不适用：当前题目没有指定需要排除的冲突或禁止记忆。</x:v>
      </x:c>
      <x:c r="AB515" s="39" t="str">
        <x:v>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C515" s="39" t="str">
        <x:v>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x:v>
      </x:c>
      <x:c r="AD515" s="39" t="str">
        <x:v>用户的完整请求是：“把订单表按以前的版本整理一下。”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E51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515" s="50" t="str">
        <x:v>not_pass</x:v>
      </x:c>
      <x:c r="AG515" s="50" t="n">
        <x:v>0</x:v>
      </x:c>
    </x:row>
    <x:row r="516" ht="243" customHeight="1">
      <x:c r="A516" s="35" t="str">
        <x:v>V3_AQ11_Q05</x:v>
      </x:c>
      <x:c r="B516" s="36" t="str">
        <x:v>SG_CLARIFY_AQ11</x:v>
      </x:c>
      <x:c r="C516" s="36" t="str">
        <x:v>AQ11</x:v>
      </x:c>
      <x:c r="D516" s="36" t="str">
        <x:v>订单字段操作不明确</x:v>
      </x:c>
      <x:c r="E516" s="36" t="str">
        <x:v>clarification_required</x:v>
      </x:c>
      <x:c r="F516" s="36" t="str">
        <x:v>human_constraint_emphasis</x:v>
      </x:c>
      <x:c r="G516" s="36" t="str">
        <x:v>challenge</x:v>
      </x:c>
      <x:c r="H516" s="36" t="str">
        <x:v>困难</x:v>
      </x:c>
      <x:c r="I516" s="36" t="str">
        <x:v>2bd59342-0664-4ccb-ba87-79379096cc08|7efeb4b1-3d19-4762-b163-63328d66303b|ecb0df7a-4e8d-4a03-b162-053391d3afaf</x:v>
      </x:c>
      <x:c r="J516" s="36" t="str">
        <x:v>CTX_2bd59342-0664-4ccb-ba87-79379096cc08|CTX_7efeb4b1-3d19-4762-b163-63328d66303b|CTX_ecb0df7a-4e8d-4a03-b162-053391d3afaf</x:v>
      </x:c>
      <x:c r="K516" s="36" t="str"/>
      <x:c r="L516" s="36" t="str">
        <x:v>STM_2bd59342-0664-4ccb-ba87-79379096cc08|MTM_7efeb4b1-3d19-4762-b163-63328d66303b|STM_ecb0df7a-4e8d-4a03-b162-053391d3afaf</x:v>
      </x:c>
      <x:c r="M516" s="36" t="str"/>
      <x:c r="N516" s="36" t="str">
        <x:v>工作流程|可复用模板</x:v>
      </x:c>
      <x:c r="O516" s="36" t="str">
        <x:v>短期|中期</x:v>
      </x:c>
      <x:c r="P516" s="36" t="str">
        <x:v>["libreoffice_calc"]</x:v>
      </x:c>
      <x:c r="Q516" s="36" t="str">
        <x:v>[]</x:v>
      </x:c>
      <x:c r="R516" s="36" t="str">
        <x:v>[]</x:v>
      </x:c>
      <x:c r="S516" s="36" t="str"/>
      <x:c r="T516" s="36" t="str">
        <x:v>OrderId_Month_Chart.xlsx|Order_Sales_Serial#.xlsx|Order_Id_Mark_Pass_Fail.xlsx</x:v>
      </x:c>
      <x:c r="U516" s="36" t="str">
        <x:v>ask_clarification</x:v>
      </x:c>
      <x:c r="V516" s="36" t="str">
        <x:v>[{"point_id":"P1","description":"识别当前信息不足以唯一确定历史方案，不直接执行","weight":0.5,"evidence_memory_ids":["STM_2bd59342-0664-4ccb-ba87-79379096cc08","MTM_7efeb4b1-3d19-4762-b163-63328d66303b","STM_ecb0df7a-4e8d-4a03-b162-053391d3afaf"]},{"point_id":"P2","description":"提出能够区分现有候选方案的澄清问题","weight":0.4,"evidence_memory_ids":["STM_2bd59342-0664-4ccb-ba87-79379096cc08","MTM_7efeb4b1-3d19-4762-b163-63328d66303b","STM_ecb0df7a-4e8d-4a03-b162-053391d3afaf"]},{"point_id":"P3","description":"澄清前不擅自选择任一候选记忆","weight":0.1,"evidence_memory_ids":["STM_2bd59342-0664-4ccb-ba87-79379096cc08","MTM_7efeb4b1-3d19-4762-b163-63328d66303b","STM_ecb0df7a-4e8d-4a03-b162-053391d3afaf"]}]</x:v>
      </x:c>
      <x:c r="W516" s="36" t="str">
        <x:v>1.00</x:v>
      </x:c>
      <x:c r="X516" s="39" t="str">
        <x:v>这次订单相关的列还是沿用旧规则。</x:v>
      </x:c>
      <x:c r="Y516" s="39" t="str">
        <x:v>不适用：当前题目在用户完成澄清前没有唯一的必需记忆。</x:v>
      </x:c>
      <x:c r="Z516" s="39" t="str">
        <x:v>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x:v>
      </x:c>
      <x:c r="AA516" s="39" t="str">
        <x:v>不适用：当前题目没有指定需要排除的冲突或禁止记忆。</x:v>
      </x:c>
      <x:c r="AB516" s="39" t="str">
        <x:v>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C516" s="39" t="str">
        <x:v>当前阶段不执行文件修改、数据处理、格式调整或结果导出。实际操作应当是先向用户完整列出并区分以下候选方案：1）在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三个可选值的下拉列表。只有在用户明确说明目标文件、工作表、范围、输出形式或具体方案后，才按照用户选定的对应记忆执行。</x:v>
      </x:c>
      <x:c r="AD516" s="39" t="str">
        <x:v>用户的完整请求是：“这次订单相关的列还是沿用旧规则。” 第1个当前上下文：OrderId_Month_Chart.xlsx 已在 LibreOffice Calc 中打开。 第2个当前上下文：Order_Sales_Serial#.xlsx 已在 LibreOffice Calc 中打开。 第3个当前上下文：Order_Id_Mark_Pass_Fail.xlsx 已在 LibreOffice Calc 中打开。 当前请求只表达了“继续以前的做法”或“按之前方式处理”这类概括性目标，没有说明具体要得到哪一种结果。历史中同时存在以下完整候选记忆：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OrderId_Month_Chart.xlsx 的 Chart 列中，为每个订单编号使用 1 月至 3 月数据创建迷你图；2）在 Order_Sales_Serial#.xlsx 的 Seq No. 列中按顺序填入 No. # 格式的序号；3）在 Order_Id_Mark_Pass_Fail.xlsx 的 Pass/Fail/Held 列应用数据验证，为每个目标单元格提供 Pass、Fail、Held 三个可选值的下拉列表。在用户明确选择前，不应擅自执行其中任何一个方案。”</x:v>
      </x:c>
      <x:c r="AE51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第2个得分点（0.40分）：提出能够区分现有候选方案的澄清问题。该得分点所依据的完整证据为：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第3个得分点（0.10分）：澄清前不擅自选择任一候选记忆。该得分点所依据的完整证据为：
第1条记忆（短期/工作流程）：在 OrderId_Month_Chart.xlsx 的 Chart 列中，为每个订单编号使用 1 月至 3 月数据创建迷你图。关键约束：每个 Order ID 一张迷你图；数据范围仅为 Jan-Mar；结果位于 Chart 列。
第2条记忆（中期/可复用模板）：在 Order_Sales_Serial#.xlsx 的 Seq No. 列中按顺序填入 No. # 格式的序号。关键约束：序号位于 Seq No. 列；格式为 No. 后接顺序编号；不修改无关区域。
第3条记忆（短期/工作流程）：在 Order_Id_Mark_Pass_Fail.xlsx 的 Pass/Fail/Held 列应用数据验证，为每个目标单元格提供 Pass、Fail、Held 三个可选值的下拉列表。关键约束：下拉选项只能是 Pass、Fail、Held；作用于目标列；不修改无关区域。
人工复审时，应依据模型最终给出的信息和实际操作是否满足上述每个得分点分别给分；只命中记忆 ID 但没有形成对应结论不能获得该结论分，形成了正确结论但表达方式不同则不应扣分。</x:v>
      </x:c>
      <x:c r="AF516" s="50" t="str">
        <x:v>not_pass</x:v>
      </x:c>
      <x:c r="AG516" s="50" t="n">
        <x:v>0</x:v>
      </x:c>
    </x:row>
    <x:row r="517" ht="229.5" customHeight="1">
      <x:c r="A517" s="35" t="str">
        <x:v>V3_AQ12_Q01</x:v>
      </x:c>
      <x:c r="B517" s="36" t="str">
        <x:v>SG_CLARIFY_AQ12</x:v>
      </x:c>
      <x:c r="C517" s="36" t="str">
        <x:v>AQ12</x:v>
      </x:c>
      <x:c r="D517" s="36" t="str">
        <x:v>学生表处理目标不明确</x:v>
      </x:c>
      <x:c r="E517" s="36" t="str">
        <x:v>clarification_required</x:v>
      </x:c>
      <x:c r="F517" s="36" t="str">
        <x:v>human_context_explicit</x:v>
      </x:c>
      <x:c r="G517" s="36" t="str">
        <x:v>challenge</x:v>
      </x:c>
      <x:c r="H517" s="36" t="str">
        <x:v>困难</x:v>
      </x:c>
      <x:c r="I517" s="36" t="str">
        <x:v>01b269ae-2111-4a07-81fd-3fcd711993b0|d681960f-7bc3-4286-9913-a8812ba3261a|eb03d19a-b88d-4de4-8a64-ca0ac66f426b</x:v>
      </x:c>
      <x:c r="J517" s="36" t="str">
        <x:v>CTX_01b269ae-2111-4a07-81fd-3fcd711993b0|CTX_d681960f-7bc3-4286-9913-a8812ba3261a|CTX_eb03d19a-b88d-4de4-8a64-ca0ac66f426b</x:v>
      </x:c>
      <x:c r="K517" s="36" t="str"/>
      <x:c r="L517" s="36" t="str">
        <x:v>STM_01b269ae-2111-4a07-81fd-3fcd711993b0|MTM_d681960f-7bc3-4286-9913-a8812ba3261a|LTM_eb03d19a-b88d-4de4-8a64-ca0ac66f426b</x:v>
      </x:c>
      <x:c r="M517" s="36" t="str"/>
      <x:c r="N517" s="36" t="str">
        <x:v>工作流程|知识</x:v>
      </x:c>
      <x:c r="O517" s="36" t="str">
        <x:v>短期|中期|长期</x:v>
      </x:c>
      <x:c r="P517" s="36" t="str">
        <x:v>["libreoffice_calc"]</x:v>
      </x:c>
      <x:c r="Q517" s="36" t="str">
        <x:v>[]</x:v>
      </x:c>
      <x:c r="R517" s="36" t="str">
        <x:v>[]</x:v>
      </x:c>
      <x:c r="S517" s="36" t="str"/>
      <x:c r="T517" s="36" t="str">
        <x:v>Student_Level_Fill_Blank.xlsx|Student_Grades_and_Remarks.xlsx|Students_Class_Subject_Marks.xlsx</x:v>
      </x:c>
      <x:c r="U517" s="36" t="str">
        <x:v>ask_clarification</x:v>
      </x:c>
      <x:c r="V517" s="36" t="str">
        <x:v>[{"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x:v>
      </x:c>
      <x:c r="W517" s="36" t="str">
        <x:v>1.00</x:v>
      </x:c>
      <x:c r="X517" s="39" t="str">
        <x:v>学生表还是按之前的办法整理一下。</x:v>
      </x:c>
      <x:c r="Y517" s="39" t="str">
        <x:v>不适用：当前题目在用户完成澄清前没有唯一的必需记忆。</x:v>
      </x:c>
      <x:c r="Z517"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AA517" s="39" t="str">
        <x:v>不适用：当前题目没有指定需要排除的冲突或禁止记忆。</x:v>
      </x:c>
      <x:c r="AB517" s="39" t="str">
        <x:v>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C517" s="39" t="str">
        <x:v>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x:v>
      </x:c>
      <x:c r="AD517" s="39" t="str">
        <x:v>用户的完整请求是：“学生表还是按之前的办法整理一下。”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E51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517" s="50" t="str">
        <x:v>not_pass</x:v>
      </x:c>
      <x:c r="AG517" s="50" t="n">
        <x:v>0</x:v>
      </x:c>
    </x:row>
    <x:row r="518" ht="229.5" customHeight="1">
      <x:c r="A518" s="35" t="str">
        <x:v>V3_AQ12_Q02</x:v>
      </x:c>
      <x:c r="B518" s="36" t="str">
        <x:v>SG_CLARIFY_AQ12</x:v>
      </x:c>
      <x:c r="C518" s="36" t="str">
        <x:v>AQ12</x:v>
      </x:c>
      <x:c r="D518" s="36" t="str">
        <x:v>学生表处理目标不明确</x:v>
      </x:c>
      <x:c r="E518" s="36" t="str">
        <x:v>clarification_required</x:v>
      </x:c>
      <x:c r="F518" s="36" t="str">
        <x:v>human_goal_oriented</x:v>
      </x:c>
      <x:c r="G518" s="36" t="str">
        <x:v>challenge</x:v>
      </x:c>
      <x:c r="H518" s="36" t="str">
        <x:v>困难</x:v>
      </x:c>
      <x:c r="I518" s="36" t="str">
        <x:v>01b269ae-2111-4a07-81fd-3fcd711993b0|d681960f-7bc3-4286-9913-a8812ba3261a|eb03d19a-b88d-4de4-8a64-ca0ac66f426b</x:v>
      </x:c>
      <x:c r="J518" s="36" t="str">
        <x:v>CTX_01b269ae-2111-4a07-81fd-3fcd711993b0|CTX_d681960f-7bc3-4286-9913-a8812ba3261a|CTX_eb03d19a-b88d-4de4-8a64-ca0ac66f426b</x:v>
      </x:c>
      <x:c r="K518" s="36" t="str"/>
      <x:c r="L518" s="36" t="str">
        <x:v>STM_01b269ae-2111-4a07-81fd-3fcd711993b0|MTM_d681960f-7bc3-4286-9913-a8812ba3261a|LTM_eb03d19a-b88d-4de4-8a64-ca0ac66f426b</x:v>
      </x:c>
      <x:c r="M518" s="36" t="str"/>
      <x:c r="N518" s="36" t="str">
        <x:v>工作流程|知识</x:v>
      </x:c>
      <x:c r="O518" s="36" t="str">
        <x:v>短期|中期|长期</x:v>
      </x:c>
      <x:c r="P518" s="36" t="str">
        <x:v>["libreoffice_calc"]</x:v>
      </x:c>
      <x:c r="Q518" s="36" t="str">
        <x:v>[]</x:v>
      </x:c>
      <x:c r="R518" s="36" t="str">
        <x:v>[]</x:v>
      </x:c>
      <x:c r="S518" s="36" t="str"/>
      <x:c r="T518" s="36" t="str">
        <x:v>Student_Level_Fill_Blank.xlsx|Student_Grades_and_Remarks.xlsx|Students_Class_Subject_Marks.xlsx</x:v>
      </x:c>
      <x:c r="U518" s="36" t="str">
        <x:v>ask_clarification</x:v>
      </x:c>
      <x:c r="V518" s="36" t="str">
        <x:v>[{"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x:v>
      </x:c>
      <x:c r="W518" s="36" t="str">
        <x:v>1.00</x:v>
      </x:c>
      <x:c r="X518" s="39" t="str">
        <x:v>这份学生数据继续做上次那个结果。</x:v>
      </x:c>
      <x:c r="Y518" s="39" t="str">
        <x:v>不适用：当前题目在用户完成澄清前没有唯一的必需记忆。</x:v>
      </x:c>
      <x:c r="Z518"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AA518" s="39" t="str">
        <x:v>不适用：当前题目没有指定需要排除的冲突或禁止记忆。</x:v>
      </x:c>
      <x:c r="AB518" s="39" t="str">
        <x:v>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C518" s="39" t="str">
        <x:v>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x:v>
      </x:c>
      <x:c r="AD518" s="39" t="str">
        <x:v>用户的完整请求是：“这份学生数据继续做上次那个结果。”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E51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518" s="50" t="str">
        <x:v>not_pass</x:v>
      </x:c>
      <x:c r="AG518" s="50" t="n">
        <x:v>0</x:v>
      </x:c>
    </x:row>
    <x:row r="519" ht="229.5" customHeight="1">
      <x:c r="A519" s="35" t="str">
        <x:v>V3_AQ12_Q03</x:v>
      </x:c>
      <x:c r="B519" s="36" t="str">
        <x:v>SG_CLARIFY_AQ12</x:v>
      </x:c>
      <x:c r="C519" s="36" t="str">
        <x:v>AQ12</x:v>
      </x:c>
      <x:c r="D519" s="36" t="str">
        <x:v>学生表处理目标不明确</x:v>
      </x:c>
      <x:c r="E519" s="36" t="str">
        <x:v>clarification_required</x:v>
      </x:c>
      <x:c r="F519" s="36" t="str">
        <x:v>contextual_ellipsis</x:v>
      </x:c>
      <x:c r="G519" s="36" t="str">
        <x:v>challenge</x:v>
      </x:c>
      <x:c r="H519" s="36" t="str">
        <x:v>困难</x:v>
      </x:c>
      <x:c r="I519" s="36" t="str">
        <x:v>01b269ae-2111-4a07-81fd-3fcd711993b0|d681960f-7bc3-4286-9913-a8812ba3261a|eb03d19a-b88d-4de4-8a64-ca0ac66f426b</x:v>
      </x:c>
      <x:c r="J519" s="36" t="str">
        <x:v>CTX_01b269ae-2111-4a07-81fd-3fcd711993b0|CTX_d681960f-7bc3-4286-9913-a8812ba3261a|CTX_eb03d19a-b88d-4de4-8a64-ca0ac66f426b</x:v>
      </x:c>
      <x:c r="K519" s="36" t="str"/>
      <x:c r="L519" s="36" t="str">
        <x:v>STM_01b269ae-2111-4a07-81fd-3fcd711993b0|MTM_d681960f-7bc3-4286-9913-a8812ba3261a|LTM_eb03d19a-b88d-4de4-8a64-ca0ac66f426b</x:v>
      </x:c>
      <x:c r="M519" s="36" t="str"/>
      <x:c r="N519" s="36" t="str">
        <x:v>工作流程|知识</x:v>
      </x:c>
      <x:c r="O519" s="36" t="str">
        <x:v>短期|中期|长期</x:v>
      </x:c>
      <x:c r="P519" s="36" t="str">
        <x:v>["libreoffice_calc"]</x:v>
      </x:c>
      <x:c r="Q519" s="36" t="str">
        <x:v>[]</x:v>
      </x:c>
      <x:c r="R519" s="36" t="str">
        <x:v>[]</x:v>
      </x:c>
      <x:c r="S519" s="36" t="str"/>
      <x:c r="T519" s="36" t="str">
        <x:v>Student_Level_Fill_Blank.xlsx|Student_Grades_and_Remarks.xlsx|Students_Class_Subject_Marks.xlsx</x:v>
      </x:c>
      <x:c r="U519" s="36" t="str">
        <x:v>ask_clarification</x:v>
      </x:c>
      <x:c r="V519" s="36" t="str">
        <x:v>[{"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x:v>
      </x:c>
      <x:c r="W519" s="36" t="str">
        <x:v>1.00</x:v>
      </x:c>
      <x:c r="X519" s="39" t="str">
        <x:v>学生工作表已经打开了，照旧处理。</x:v>
      </x:c>
      <x:c r="Y519" s="39" t="str">
        <x:v>不适用：当前题目在用户完成澄清前没有唯一的必需记忆。</x:v>
      </x:c>
      <x:c r="Z519"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AA519" s="39" t="str">
        <x:v>不适用：当前题目没有指定需要排除的冲突或禁止记忆。</x:v>
      </x:c>
      <x:c r="AB519" s="39" t="str">
        <x:v>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C519" s="39" t="str">
        <x:v>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x:v>
      </x:c>
      <x:c r="AD519" s="39" t="str">
        <x:v>用户的完整请求是：“学生工作表已经打开了，照旧处理。”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E51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519" s="50" t="str">
        <x:v>not_pass</x:v>
      </x:c>
      <x:c r="AG519" s="50" t="n">
        <x:v>0</x:v>
      </x:c>
    </x:row>
    <x:row r="520" ht="229.5" customHeight="1">
      <x:c r="A520" s="35" t="str">
        <x:v>V3_AQ12_Q04</x:v>
      </x:c>
      <x:c r="B520" s="36" t="str">
        <x:v>SG_CLARIFY_AQ12</x:v>
      </x:c>
      <x:c r="C520" s="36" t="str">
        <x:v>AQ12</x:v>
      </x:c>
      <x:c r="D520" s="36" t="str">
        <x:v>学生表处理目标不明确</x:v>
      </x:c>
      <x:c r="E520" s="36" t="str">
        <x:v>clarification_required</x:v>
      </x:c>
      <x:c r="F520" s="36" t="str">
        <x:v>low_overlap_paraphrase</x:v>
      </x:c>
      <x:c r="G520" s="36" t="str">
        <x:v>challenge</x:v>
      </x:c>
      <x:c r="H520" s="36" t="str">
        <x:v>困难</x:v>
      </x:c>
      <x:c r="I520" s="36" t="str">
        <x:v>01b269ae-2111-4a07-81fd-3fcd711993b0|d681960f-7bc3-4286-9913-a8812ba3261a|eb03d19a-b88d-4de4-8a64-ca0ac66f426b</x:v>
      </x:c>
      <x:c r="J520" s="36" t="str">
        <x:v>CTX_01b269ae-2111-4a07-81fd-3fcd711993b0|CTX_d681960f-7bc3-4286-9913-a8812ba3261a|CTX_eb03d19a-b88d-4de4-8a64-ca0ac66f426b</x:v>
      </x:c>
      <x:c r="K520" s="36" t="str"/>
      <x:c r="L520" s="36" t="str">
        <x:v>STM_01b269ae-2111-4a07-81fd-3fcd711993b0|MTM_d681960f-7bc3-4286-9913-a8812ba3261a|LTM_eb03d19a-b88d-4de4-8a64-ca0ac66f426b</x:v>
      </x:c>
      <x:c r="M520" s="36" t="str"/>
      <x:c r="N520" s="36" t="str">
        <x:v>工作流程|知识</x:v>
      </x:c>
      <x:c r="O520" s="36" t="str">
        <x:v>短期|中期|长期</x:v>
      </x:c>
      <x:c r="P520" s="36" t="str">
        <x:v>["libreoffice_calc"]</x:v>
      </x:c>
      <x:c r="Q520" s="36" t="str">
        <x:v>[]</x:v>
      </x:c>
      <x:c r="R520" s="36" t="str">
        <x:v>[]</x:v>
      </x:c>
      <x:c r="S520" s="36" t="str"/>
      <x:c r="T520" s="36" t="str">
        <x:v>Student_Level_Fill_Blank.xlsx|Student_Grades_and_Remarks.xlsx|Students_Class_Subject_Marks.xlsx</x:v>
      </x:c>
      <x:c r="U520" s="36" t="str">
        <x:v>ask_clarification</x:v>
      </x:c>
      <x:c r="V520" s="36" t="str">
        <x:v>[{"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x:v>
      </x:c>
      <x:c r="W520" s="36" t="str">
        <x:v>1.00</x:v>
      </x:c>
      <x:c r="X520" s="39" t="str">
        <x:v>把学生相关的数据按以前的规则补好。</x:v>
      </x:c>
      <x:c r="Y520" s="39" t="str">
        <x:v>不适用：当前题目在用户完成澄清前没有唯一的必需记忆。</x:v>
      </x:c>
      <x:c r="Z520"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AA520" s="39" t="str">
        <x:v>不适用：当前题目没有指定需要排除的冲突或禁止记忆。</x:v>
      </x:c>
      <x:c r="AB520" s="39" t="str">
        <x:v>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C520" s="39" t="str">
        <x:v>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x:v>
      </x:c>
      <x:c r="AD520" s="39" t="str">
        <x:v>用户的完整请求是：“把学生相关的数据按以前的规则补好。”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E52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520" s="50" t="str">
        <x:v>not_pass</x:v>
      </x:c>
      <x:c r="AG520" s="50" t="n">
        <x:v>0</x:v>
      </x:c>
    </x:row>
    <x:row r="521" ht="229.5" customHeight="1">
      <x:c r="A521" s="35" t="str">
        <x:v>V3_AQ12_Q05</x:v>
      </x:c>
      <x:c r="B521" s="36" t="str">
        <x:v>SG_CLARIFY_AQ12</x:v>
      </x:c>
      <x:c r="C521" s="36" t="str">
        <x:v>AQ12</x:v>
      </x:c>
      <x:c r="D521" s="36" t="str">
        <x:v>学生表处理目标不明确</x:v>
      </x:c>
      <x:c r="E521" s="36" t="str">
        <x:v>clarification_required</x:v>
      </x:c>
      <x:c r="F521" s="36" t="str">
        <x:v>human_constraint_emphasis</x:v>
      </x:c>
      <x:c r="G521" s="36" t="str">
        <x:v>challenge</x:v>
      </x:c>
      <x:c r="H521" s="36" t="str">
        <x:v>困难</x:v>
      </x:c>
      <x:c r="I521" s="36" t="str">
        <x:v>01b269ae-2111-4a07-81fd-3fcd711993b0|d681960f-7bc3-4286-9913-a8812ba3261a|eb03d19a-b88d-4de4-8a64-ca0ac66f426b</x:v>
      </x:c>
      <x:c r="J521" s="36" t="str">
        <x:v>CTX_01b269ae-2111-4a07-81fd-3fcd711993b0|CTX_d681960f-7bc3-4286-9913-a8812ba3261a|CTX_eb03d19a-b88d-4de4-8a64-ca0ac66f426b</x:v>
      </x:c>
      <x:c r="K521" s="36" t="str"/>
      <x:c r="L521" s="36" t="str">
        <x:v>STM_01b269ae-2111-4a07-81fd-3fcd711993b0|MTM_d681960f-7bc3-4286-9913-a8812ba3261a|LTM_eb03d19a-b88d-4de4-8a64-ca0ac66f426b</x:v>
      </x:c>
      <x:c r="M521" s="36" t="str"/>
      <x:c r="N521" s="36" t="str">
        <x:v>工作流程|知识</x:v>
      </x:c>
      <x:c r="O521" s="36" t="str">
        <x:v>短期|中期|长期</x:v>
      </x:c>
      <x:c r="P521" s="36" t="str">
        <x:v>["libreoffice_calc"]</x:v>
      </x:c>
      <x:c r="Q521" s="36" t="str">
        <x:v>[]</x:v>
      </x:c>
      <x:c r="R521" s="36" t="str">
        <x:v>[]</x:v>
      </x:c>
      <x:c r="S521" s="36" t="str"/>
      <x:c r="T521" s="36" t="str">
        <x:v>Student_Level_Fill_Blank.xlsx|Student_Grades_and_Remarks.xlsx|Students_Class_Subject_Marks.xlsx</x:v>
      </x:c>
      <x:c r="U521" s="36" t="str">
        <x:v>ask_clarification</x:v>
      </x:c>
      <x:c r="V521" s="36" t="str">
        <x:v>[{"point_id":"P1","description":"识别当前信息不足以唯一确定历史方案，不直接执行","weight":0.5,"evidence_memory_ids":["STM_01b269ae-2111-4a07-81fd-3fcd711993b0","MTM_d681960f-7bc3-4286-9913-a8812ba3261a","LTM_eb03d19a-b88d-4de4-8a64-ca0ac66f426b"]},{"point_id":"P2","description":"提出能够区分现有候选方案的澄清问题","weight":0.4,"evidence_memory_ids":["STM_01b269ae-2111-4a07-81fd-3fcd711993b0","MTM_d681960f-7bc3-4286-9913-a8812ba3261a","LTM_eb03d19a-b88d-4de4-8a64-ca0ac66f426b"]},{"point_id":"P3","description":"澄清前不擅自选择任一候选记忆","weight":0.1,"evidence_memory_ids":["STM_01b269ae-2111-4a07-81fd-3fcd711993b0","MTM_d681960f-7bc3-4286-9913-a8812ba3261a","LTM_eb03d19a-b88d-4de4-8a64-ca0ac66f426b"]}]</x:v>
      </x:c>
      <x:c r="W521" s="36" t="str">
        <x:v>1.00</x:v>
      </x:c>
      <x:c r="X521" s="39" t="str">
        <x:v>这次学生表仍然沿用之前的操作。</x:v>
      </x:c>
      <x:c r="Y521" s="39" t="str">
        <x:v>不适用：当前题目在用户完成澄清前没有唯一的必需记忆。</x:v>
      </x:c>
      <x:c r="Z521" s="39" t="str">
        <x:v>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x:v>
      </x:c>
      <x:c r="AA521" s="39" t="str">
        <x:v>不适用：当前题目没有指定需要排除的冲突或禁止记忆。</x:v>
      </x:c>
      <x:c r="AB521" s="39" t="str">
        <x:v>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C521" s="39" t="str">
        <x:v>当前阶段不执行文件修改、数据处理、格式调整或结果导出。实际操作应当是先向用户完整列出并区分以下候选方案：1）处理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为左上角的区域。只有在用户明确说明目标文件、工作表、范围、输出形式或具体方案后，才按照用户选定的对应记忆执行。</x:v>
      </x:c>
      <x:c r="AD521" s="39" t="str">
        <x:v>用户的完整请求是：“这次学生表仍然沿用之前的操作。” 第1个当前上下文：Student_Level_Fill_Blank.xlsx 已在 LibreOffice Calc 中打开。 第2个当前上下文：Student_Grades_and_Remarks.xlsx 已在 LibreOffice Calc 中打开。 第3个当前上下文：Students_Class_Subject_Marks.xlsx 已在 LibreOffice Calc 中打开。 当前请求只表达了“继续以前的做法”或“按之前方式处理”这类概括性目标，没有说明具体要得到哪一种结果。历史中同时存在以下完整候选记忆：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处理 Student_Level_Fill_Blank.xlsx 时，将 B1:E30 内的空白单元格填成其上方单元格的值，并保持其他区域不变；2）在 Student_Grades_and_Remarks.xlsx 中依据上方的评分尺度表，为下方每位学生计算并填写对应等级；3）在 Students_Class_Subject_Marks.xlsx 中转置 B2:F5 表格，并把转置结果粘贴到以 B8 为左上角的区域。在用户明确选择前，不应擅自执行其中任何一个方案。”</x:v>
      </x:c>
      <x:c r="AE52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第2个得分点（0.40分）：提出能够区分现有候选方案的澄清问题。该得分点所依据的完整证据为：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第3个得分点（0.10分）：澄清前不擅自选择任一候选记忆。该得分点所依据的完整证据为：
第1条记忆（短期/工作流程）：处理 Student_Level_Fill_Blank.xlsx 时，将 B1:E30 内的空白单元格填成其上方单元格的值，并保持其他区域不变。关键约束：仅处理 B1:E30；不修改其他区域，即使其他区域也为空白。
第2条记忆（中期/知识）：在 Student_Grades_and_Remarks.xlsx 中依据上方的评分尺度表，为下方每位学生计算并填写对应等级。关键约束：严格使用现有 scale table；覆盖所有学生；不修改无关区域。
第3条记忆（长期/工作流程）：在 Students_Class_Subject_Marks.xlsx 中转置 B2:F5 表格，并把转置结果粘贴到以 B8 为左上角的区域。关键约束：源范围为 B2:F5；执行矩阵转置；目标左上角必须是 B8。
人工复审时，应依据模型最终给出的信息和实际操作是否满足上述每个得分点分别给分；只命中记忆 ID 但没有形成对应结论不能获得该结论分，形成了正确结论但表达方式不同则不应扣分。</x:v>
      </x:c>
      <x:c r="AF521" s="50" t="str">
        <x:v>not_pass</x:v>
      </x:c>
      <x:c r="AG521" s="50" t="n">
        <x:v>0</x:v>
      </x:c>
    </x:row>
    <x:row r="522" ht="243" customHeight="1">
      <x:c r="A522" s="35" t="str">
        <x:v>V3_AQ13_Q01</x:v>
      </x:c>
      <x:c r="B522" s="36" t="str">
        <x:v>SG_CLARIFY_AQ13</x:v>
      </x:c>
      <x:c r="C522" s="36" t="str">
        <x:v>AQ13</x:v>
      </x:c>
      <x:c r="D522" s="36" t="str">
        <x:v>导出与显示目标不明确</x:v>
      </x:c>
      <x:c r="E522" s="36" t="str">
        <x:v>clarification_required</x:v>
      </x:c>
      <x:c r="F522" s="36" t="str">
        <x:v>human_context_explicit</x:v>
      </x:c>
      <x:c r="G522" s="36" t="str">
        <x:v>challenge</x:v>
      </x:c>
      <x:c r="H522" s="36" t="str">
        <x:v>困难</x:v>
      </x:c>
      <x:c r="I522" s="36" t="str">
        <x:v>3aaa4e37-dc91-482e-99af-132a612d40f3|aa3a8974-2e85-438b-b29e-a64df44deb4b|1334ca3e-f9e3-4db8-9ca7-b4c653be7d17</x:v>
      </x:c>
      <x:c r="J522" s="36" t="str">
        <x:v>CTX_3aaa4e37-dc91-482e-99af-132a612d40f3|CTX_aa3a8974-2e85-438b-b29e-a64df44deb4b|CTX_1334ca3e-f9e3-4db8-9ca7-b4c653be7d17</x:v>
      </x:c>
      <x:c r="K522" s="36" t="str"/>
      <x:c r="L522" s="36" t="str">
        <x:v>STM_3aaa4e37-dc91-482e-99af-132a612d40f3|STM_aa3a8974-2e85-438b-b29e-a64df44deb4b|STM_1334ca3e-f9e3-4db8-9ca7-b4c653be7d17</x:v>
      </x:c>
      <x:c r="M522" s="36" t="str"/>
      <x:c r="N522" s="36" t="str">
        <x:v>工作流程|事件</x:v>
      </x:c>
      <x:c r="O522" s="36" t="str">
        <x:v>短期</x:v>
      </x:c>
      <x:c r="P522" s="36" t="str">
        <x:v>["libreoffice_calc"]</x:v>
      </x:c>
      <x:c r="Q522" s="36" t="str">
        <x:v>[]</x:v>
      </x:c>
      <x:c r="R522" s="36" t="str">
        <x:v>[]</x:v>
      </x:c>
      <x:c r="S522" s="36" t="str"/>
      <x:c r="T522" s="36" t="str">
        <x:v>Export_Calc_to_CSV.xlsx|Resize_Cells_Fit_Page.xlsx|Zoom_Out_Oversized_Cells.xlsx</x:v>
      </x:c>
      <x:c r="U522" s="36" t="str">
        <x:v>ask_clarification</x:v>
      </x:c>
      <x:c r="V522" s="36" t="str">
        <x:v>[{"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x:v>
      </x:c>
      <x:c r="W522" s="36" t="str">
        <x:v>1.00</x:v>
      </x:c>
      <x:c r="X522" s="39" t="str">
        <x:v>这份表按之前的交付方式处理一下。</x:v>
      </x:c>
      <x:c r="Y522" s="39" t="str">
        <x:v>不适用：当前题目在用户完成澄清前没有唯一的必需记忆。</x:v>
      </x:c>
      <x:c r="Z522"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x:v>
      </x:c>
      <x:c r="AA522" s="39" t="str">
        <x:v>不适用：当前题目没有指定需要排除的冲突或禁止记忆。</x:v>
      </x:c>
      <x:c r="AB522" s="39" t="str">
        <x:v>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C522" s="39" t="str">
        <x:v>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x:v>
      </x:c>
      <x:c r="AD522" s="39" t="str">
        <x:v>用户的完整请求是：“这份表按之前的交付方式处理一下。”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E522"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22" s="50" t="str">
        <x:v>not_pass</x:v>
      </x:c>
      <x:c r="AG522" s="50" t="n">
        <x:v>0</x:v>
      </x:c>
    </x:row>
    <x:row r="523" ht="243" customHeight="1">
      <x:c r="A523" s="35" t="str">
        <x:v>V3_AQ13_Q02</x:v>
      </x:c>
      <x:c r="B523" s="36" t="str">
        <x:v>SG_CLARIFY_AQ13</x:v>
      </x:c>
      <x:c r="C523" s="36" t="str">
        <x:v>AQ13</x:v>
      </x:c>
      <x:c r="D523" s="36" t="str">
        <x:v>导出与显示目标不明确</x:v>
      </x:c>
      <x:c r="E523" s="36" t="str">
        <x:v>clarification_required</x:v>
      </x:c>
      <x:c r="F523" s="36" t="str">
        <x:v>human_goal_oriented</x:v>
      </x:c>
      <x:c r="G523" s="36" t="str">
        <x:v>challenge</x:v>
      </x:c>
      <x:c r="H523" s="36" t="str">
        <x:v>困难</x:v>
      </x:c>
      <x:c r="I523" s="36" t="str">
        <x:v>3aaa4e37-dc91-482e-99af-132a612d40f3|aa3a8974-2e85-438b-b29e-a64df44deb4b|1334ca3e-f9e3-4db8-9ca7-b4c653be7d17</x:v>
      </x:c>
      <x:c r="J523" s="36" t="str">
        <x:v>CTX_3aaa4e37-dc91-482e-99af-132a612d40f3|CTX_aa3a8974-2e85-438b-b29e-a64df44deb4b|CTX_1334ca3e-f9e3-4db8-9ca7-b4c653be7d17</x:v>
      </x:c>
      <x:c r="K523" s="36" t="str"/>
      <x:c r="L523" s="36" t="str">
        <x:v>STM_3aaa4e37-dc91-482e-99af-132a612d40f3|STM_aa3a8974-2e85-438b-b29e-a64df44deb4b|STM_1334ca3e-f9e3-4db8-9ca7-b4c653be7d17</x:v>
      </x:c>
      <x:c r="M523" s="36" t="str"/>
      <x:c r="N523" s="36" t="str">
        <x:v>工作流程|事件</x:v>
      </x:c>
      <x:c r="O523" s="36" t="str">
        <x:v>短期</x:v>
      </x:c>
      <x:c r="P523" s="36" t="str">
        <x:v>["libreoffice_calc"]</x:v>
      </x:c>
      <x:c r="Q523" s="36" t="str">
        <x:v>[]</x:v>
      </x:c>
      <x:c r="R523" s="36" t="str">
        <x:v>[]</x:v>
      </x:c>
      <x:c r="S523" s="36" t="str"/>
      <x:c r="T523" s="36" t="str">
        <x:v>Export_Calc_to_CSV.xlsx|Resize_Cells_Fit_Page.xlsx|Zoom_Out_Oversized_Cells.xlsx</x:v>
      </x:c>
      <x:c r="U523" s="36" t="str">
        <x:v>ask_clarification</x:v>
      </x:c>
      <x:c r="V523" s="36" t="str">
        <x:v>[{"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x:v>
      </x:c>
      <x:c r="W523" s="36" t="str">
        <x:v>1.00</x:v>
      </x:c>
      <x:c r="X523" s="39" t="str">
        <x:v>文件已经打开了，还是做上次那个输出。</x:v>
      </x:c>
      <x:c r="Y523" s="39" t="str">
        <x:v>不适用：当前题目在用户完成澄清前没有唯一的必需记忆。</x:v>
      </x:c>
      <x:c r="Z523"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x:v>
      </x:c>
      <x:c r="AA523" s="39" t="str">
        <x:v>不适用：当前题目没有指定需要排除的冲突或禁止记忆。</x:v>
      </x:c>
      <x:c r="AB523" s="39" t="str">
        <x:v>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C523" s="39" t="str">
        <x:v>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x:v>
      </x:c>
      <x:c r="AD523" s="39" t="str">
        <x:v>用户的完整请求是：“文件已经打开了，还是做上次那个输出。”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E523"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23" s="50" t="str">
        <x:v>not_pass</x:v>
      </x:c>
      <x:c r="AG523" s="50" t="n">
        <x:v>0</x:v>
      </x:c>
    </x:row>
    <x:row r="524" ht="243" customHeight="1">
      <x:c r="A524" s="35" t="str">
        <x:v>V3_AQ13_Q03</x:v>
      </x:c>
      <x:c r="B524" s="36" t="str">
        <x:v>SG_CLARIFY_AQ13</x:v>
      </x:c>
      <x:c r="C524" s="36" t="str">
        <x:v>AQ13</x:v>
      </x:c>
      <x:c r="D524" s="36" t="str">
        <x:v>导出与显示目标不明确</x:v>
      </x:c>
      <x:c r="E524" s="36" t="str">
        <x:v>clarification_required</x:v>
      </x:c>
      <x:c r="F524" s="36" t="str">
        <x:v>contextual_ellipsis</x:v>
      </x:c>
      <x:c r="G524" s="36" t="str">
        <x:v>challenge</x:v>
      </x:c>
      <x:c r="H524" s="36" t="str">
        <x:v>困难</x:v>
      </x:c>
      <x:c r="I524" s="36" t="str">
        <x:v>3aaa4e37-dc91-482e-99af-132a612d40f3|aa3a8974-2e85-438b-b29e-a64df44deb4b|1334ca3e-f9e3-4db8-9ca7-b4c653be7d17</x:v>
      </x:c>
      <x:c r="J524" s="36" t="str">
        <x:v>CTX_3aaa4e37-dc91-482e-99af-132a612d40f3|CTX_aa3a8974-2e85-438b-b29e-a64df44deb4b|CTX_1334ca3e-f9e3-4db8-9ca7-b4c653be7d17</x:v>
      </x:c>
      <x:c r="K524" s="36" t="str"/>
      <x:c r="L524" s="36" t="str">
        <x:v>STM_3aaa4e37-dc91-482e-99af-132a612d40f3|STM_aa3a8974-2e85-438b-b29e-a64df44deb4b|STM_1334ca3e-f9e3-4db8-9ca7-b4c653be7d17</x:v>
      </x:c>
      <x:c r="M524" s="36" t="str"/>
      <x:c r="N524" s="36" t="str">
        <x:v>工作流程|事件</x:v>
      </x:c>
      <x:c r="O524" s="36" t="str">
        <x:v>短期</x:v>
      </x:c>
      <x:c r="P524" s="36" t="str">
        <x:v>["libreoffice_calc"]</x:v>
      </x:c>
      <x:c r="Q524" s="36" t="str">
        <x:v>[]</x:v>
      </x:c>
      <x:c r="R524" s="36" t="str">
        <x:v>[]</x:v>
      </x:c>
      <x:c r="S524" s="36" t="str"/>
      <x:c r="T524" s="36" t="str">
        <x:v>Export_Calc_to_CSV.xlsx|Resize_Cells_Fit_Page.xlsx|Zoom_Out_Oversized_Cells.xlsx</x:v>
      </x:c>
      <x:c r="U524" s="36" t="str">
        <x:v>ask_clarification</x:v>
      </x:c>
      <x:c r="V524" s="36" t="str">
        <x:v>[{"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x:v>
      </x:c>
      <x:c r="W524" s="36" t="str">
        <x:v>1.00</x:v>
      </x:c>
      <x:c r="X524" s="39" t="str">
        <x:v>把当前工作表按以前的方式整理并交付。</x:v>
      </x:c>
      <x:c r="Y524" s="39" t="str">
        <x:v>不适用：当前题目在用户完成澄清前没有唯一的必需记忆。</x:v>
      </x:c>
      <x:c r="Z524"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x:v>
      </x:c>
      <x:c r="AA524" s="39" t="str">
        <x:v>不适用：当前题目没有指定需要排除的冲突或禁止记忆。</x:v>
      </x:c>
      <x:c r="AB524" s="39" t="str">
        <x:v>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C524" s="39" t="str">
        <x:v>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x:v>
      </x:c>
      <x:c r="AD524" s="39" t="str">
        <x:v>用户的完整请求是：“把当前工作表按以前的方式整理并交付。”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E524"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24" s="50" t="str">
        <x:v>not_pass</x:v>
      </x:c>
      <x:c r="AG524" s="50" t="n">
        <x:v>0</x:v>
      </x:c>
    </x:row>
    <x:row r="525" ht="243" customHeight="1">
      <x:c r="A525" s="35" t="str">
        <x:v>V3_AQ13_Q04</x:v>
      </x:c>
      <x:c r="B525" s="36" t="str">
        <x:v>SG_CLARIFY_AQ13</x:v>
      </x:c>
      <x:c r="C525" s="36" t="str">
        <x:v>AQ13</x:v>
      </x:c>
      <x:c r="D525" s="36" t="str">
        <x:v>导出与显示目标不明确</x:v>
      </x:c>
      <x:c r="E525" s="36" t="str">
        <x:v>clarification_required</x:v>
      </x:c>
      <x:c r="F525" s="36" t="str">
        <x:v>low_overlap_paraphrase</x:v>
      </x:c>
      <x:c r="G525" s="36" t="str">
        <x:v>challenge</x:v>
      </x:c>
      <x:c r="H525" s="36" t="str">
        <x:v>困难</x:v>
      </x:c>
      <x:c r="I525" s="36" t="str">
        <x:v>3aaa4e37-dc91-482e-99af-132a612d40f3|aa3a8974-2e85-438b-b29e-a64df44deb4b|1334ca3e-f9e3-4db8-9ca7-b4c653be7d17</x:v>
      </x:c>
      <x:c r="J525" s="36" t="str">
        <x:v>CTX_3aaa4e37-dc91-482e-99af-132a612d40f3|CTX_aa3a8974-2e85-438b-b29e-a64df44deb4b|CTX_1334ca3e-f9e3-4db8-9ca7-b4c653be7d17</x:v>
      </x:c>
      <x:c r="K525" s="36" t="str"/>
      <x:c r="L525" s="36" t="str">
        <x:v>STM_3aaa4e37-dc91-482e-99af-132a612d40f3|STM_aa3a8974-2e85-438b-b29e-a64df44deb4b|STM_1334ca3e-f9e3-4db8-9ca7-b4c653be7d17</x:v>
      </x:c>
      <x:c r="M525" s="36" t="str"/>
      <x:c r="N525" s="36" t="str">
        <x:v>工作流程|事件</x:v>
      </x:c>
      <x:c r="O525" s="36" t="str">
        <x:v>短期</x:v>
      </x:c>
      <x:c r="P525" s="36" t="str">
        <x:v>["libreoffice_calc"]</x:v>
      </x:c>
      <x:c r="Q525" s="36" t="str">
        <x:v>[]</x:v>
      </x:c>
      <x:c r="R525" s="36" t="str">
        <x:v>[]</x:v>
      </x:c>
      <x:c r="S525" s="36" t="str"/>
      <x:c r="T525" s="36" t="str">
        <x:v>Export_Calc_to_CSV.xlsx|Resize_Cells_Fit_Page.xlsx|Zoom_Out_Oversized_Cells.xlsx</x:v>
      </x:c>
      <x:c r="U525" s="36" t="str">
        <x:v>ask_clarification</x:v>
      </x:c>
      <x:c r="V525" s="36" t="str">
        <x:v>[{"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x:v>
      </x:c>
      <x:c r="W525" s="36" t="str">
        <x:v>1.00</x:v>
      </x:c>
      <x:c r="X525" s="39" t="str">
        <x:v>这份结果继续沿用旧版的输出方法。</x:v>
      </x:c>
      <x:c r="Y525" s="39" t="str">
        <x:v>不适用：当前题目在用户完成澄清前没有唯一的必需记忆。</x:v>
      </x:c>
      <x:c r="Z525"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x:v>
      </x:c>
      <x:c r="AA525" s="39" t="str">
        <x:v>不适用：当前题目没有指定需要排除的冲突或禁止记忆。</x:v>
      </x:c>
      <x:c r="AB525" s="39" t="str">
        <x:v>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C525" s="39" t="str">
        <x:v>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x:v>
      </x:c>
      <x:c r="AD525" s="39" t="str">
        <x:v>用户的完整请求是：“这份结果继续沿用旧版的输出方法。”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E525"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25" s="50" t="str">
        <x:v>not_pass</x:v>
      </x:c>
      <x:c r="AG525" s="50" t="n">
        <x:v>0</x:v>
      </x:c>
    </x:row>
    <x:row r="526" ht="243" customHeight="1">
      <x:c r="A526" s="35" t="str">
        <x:v>V3_AQ13_Q05</x:v>
      </x:c>
      <x:c r="B526" s="36" t="str">
        <x:v>SG_CLARIFY_AQ13</x:v>
      </x:c>
      <x:c r="C526" s="36" t="str">
        <x:v>AQ13</x:v>
      </x:c>
      <x:c r="D526" s="36" t="str">
        <x:v>导出与显示目标不明确</x:v>
      </x:c>
      <x:c r="E526" s="36" t="str">
        <x:v>clarification_required</x:v>
      </x:c>
      <x:c r="F526" s="36" t="str">
        <x:v>human_constraint_emphasis</x:v>
      </x:c>
      <x:c r="G526" s="36" t="str">
        <x:v>challenge</x:v>
      </x:c>
      <x:c r="H526" s="36" t="str">
        <x:v>困难</x:v>
      </x:c>
      <x:c r="I526" s="36" t="str">
        <x:v>3aaa4e37-dc91-482e-99af-132a612d40f3|aa3a8974-2e85-438b-b29e-a64df44deb4b|1334ca3e-f9e3-4db8-9ca7-b4c653be7d17</x:v>
      </x:c>
      <x:c r="J526" s="36" t="str">
        <x:v>CTX_3aaa4e37-dc91-482e-99af-132a612d40f3|CTX_aa3a8974-2e85-438b-b29e-a64df44deb4b|CTX_1334ca3e-f9e3-4db8-9ca7-b4c653be7d17</x:v>
      </x:c>
      <x:c r="K526" s="36" t="str"/>
      <x:c r="L526" s="36" t="str">
        <x:v>STM_3aaa4e37-dc91-482e-99af-132a612d40f3|STM_aa3a8974-2e85-438b-b29e-a64df44deb4b|STM_1334ca3e-f9e3-4db8-9ca7-b4c653be7d17</x:v>
      </x:c>
      <x:c r="M526" s="36" t="str"/>
      <x:c r="N526" s="36" t="str">
        <x:v>工作流程|事件</x:v>
      </x:c>
      <x:c r="O526" s="36" t="str">
        <x:v>短期</x:v>
      </x:c>
      <x:c r="P526" s="36" t="str">
        <x:v>["libreoffice_calc"]</x:v>
      </x:c>
      <x:c r="Q526" s="36" t="str">
        <x:v>[]</x:v>
      </x:c>
      <x:c r="R526" s="36" t="str">
        <x:v>[]</x:v>
      </x:c>
      <x:c r="S526" s="36" t="str"/>
      <x:c r="T526" s="36" t="str">
        <x:v>Export_Calc_to_CSV.xlsx|Resize_Cells_Fit_Page.xlsx|Zoom_Out_Oversized_Cells.xlsx</x:v>
      </x:c>
      <x:c r="U526" s="36" t="str">
        <x:v>ask_clarification</x:v>
      </x:c>
      <x:c r="V526" s="36" t="str">
        <x:v>[{"point_id":"P1","description":"识别当前信息不足以唯一确定历史方案，不直接执行","weight":0.5,"evidence_memory_ids":["STM_3aaa4e37-dc91-482e-99af-132a612d40f3","STM_aa3a8974-2e85-438b-b29e-a64df44deb4b","STM_1334ca3e-f9e3-4db8-9ca7-b4c653be7d17"]},{"point_id":"P2","description":"提出能够区分现有候选方案的澄清问题","weight":0.4,"evidence_memory_ids":["STM_3aaa4e37-dc91-482e-99af-132a612d40f3","STM_aa3a8974-2e85-438b-b29e-a64df44deb4b","STM_1334ca3e-f9e3-4db8-9ca7-b4c653be7d17"]},{"point_id":"P3","description":"澄清前不擅自选择任一候选记忆","weight":0.1,"evidence_memory_ids":["STM_3aaa4e37-dc91-482e-99af-132a612d40f3","STM_aa3a8974-2e85-438b-b29e-a64df44deb4b","STM_1334ca3e-f9e3-4db8-9ca7-b4c653be7d17"]}]</x:v>
      </x:c>
      <x:c r="W526" s="36" t="str">
        <x:v>1.00</x:v>
      </x:c>
      <x:c r="X526" s="39" t="str">
        <x:v>按我们之前处理这类文件的方式收尾。</x:v>
      </x:c>
      <x:c r="Y526" s="39" t="str">
        <x:v>不适用：当前题目在用户完成澄清前没有唯一的必需记忆。</x:v>
      </x:c>
      <x:c r="Z526" s="39" t="str">
        <x:v>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x:v>
      </x:c>
      <x:c r="AA526" s="39" t="str">
        <x:v>不适用：当前题目没有指定需要排除的冲突或禁止记忆。</x:v>
      </x:c>
      <x:c r="AB526" s="39" t="str">
        <x:v>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C526" s="39" t="str">
        <x:v>当前阶段不执行文件修改、数据处理、格式调整或结果导出。实际操作应当是先向用户完整列出并区分以下候选方案：1）把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中因单元格显示过大而难以点击目标单元格，需要适当缩小工作表视图。只有在用户明确说明目标文件、工作表、范围、输出形式或具体方案后，才按照用户选定的对应记忆执行。</x:v>
      </x:c>
      <x:c r="AD526" s="39" t="str">
        <x:v>用户的完整请求是：“按我们之前处理这类文件的方式收尾。” 第1个当前上下文：Export_Calc_to_CSV.xlsx 已在 LibreOffice Calc 中打开。 第2个当前上下文：Resize_Cells_Fit_Page.xlsx 已在 LibreOffice Calc 中打开。 第3个当前上下文：Zoom_Out_Oversized_Cells.xlsx 已在 LibreOffice Calc 中打开。 当前请求只表达了“继续以前的做法”或“按之前方式处理”这类概括性目标，没有说明具体要得到哪一种结果。历史中同时存在以下完整候选记忆：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把 Export_Calc_to_CSV.xlsx 当前工作表按屏幕显示内容导出为默认格式的 CSV，其他导出选项保持不变，CSV 与原 XLSX 使用相同的主文件名；2）调整 Resize_Cells_Fit_Page.xlsx 的单元格和页面布局，使内容适合一页显示，然后导出为与原电子表格同名的 PDF，并保存到用户主目录；3）用户在 Zoom_Out_Oversized_Cells.xlsx 中因单元格显示过大而难以点击目标单元格，需要适当缩小工作表视图。在用户明确选择前，不应擅自执行其中任何一个方案。”</x:v>
      </x:c>
      <x:c r="AE526"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第2个得分点（0.40分）：提出能够区分现有候选方案的澄清问题。该得分点所依据的完整证据为：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第3个得分点（0.10分）：澄清前不擅自选择任一候选记忆。该得分点所依据的完整证据为：
第1条记忆（短期/工作流程）：把 Export_Calc_to_CSV.xlsx 当前工作表按屏幕显示内容导出为默认格式的 CSV，其他导出选项保持不变，CSV 与原 XLSX 使用相同的主文件名。关键约束：只导出当前工作表；保持默认 CSV 选项；文件主名与原 XLSX 相同。
第2条记忆（短期/工作流程）：调整 Resize_Cells_Fit_Page.xlsx 的单元格和页面布局，使内容适合一页显示，然后导出为与原电子表格同名的 PDF，并保存到用户主目录。关键约束：输出必须只有一页；PDF 主文件名与原表相同；保存到 home directory。
第3条记忆（短期/事件）：用户在 Zoom_Out_Oversized_Cells.xlsx 中因单元格显示过大而难以点击目标单元格，需要适当缩小工作表视图。关键约束：只调整视图缩放；不修改单元格内容或格式。
人工复审时，应依据模型最终给出的信息和实际操作是否满足上述每个得分点分别给分；只命中记忆 ID 但没有形成对应结论不能获得该结论分，形成了正确结论但表达方式不同则不应扣分。</x:v>
      </x:c>
      <x:c r="AF526" s="50" t="str">
        <x:v>not_pass</x:v>
      </x:c>
      <x:c r="AG526" s="50" t="n">
        <x:v>0</x:v>
      </x:c>
    </x:row>
    <x:row r="527" ht="243" customHeight="1">
      <x:c r="A527" s="35" t="str">
        <x:v>V3_AQ14_Q01</x:v>
      </x:c>
      <x:c r="B527" s="36" t="str">
        <x:v>SG_CLARIFY_AQ14</x:v>
      </x:c>
      <x:c r="C527" s="36" t="str">
        <x:v>AQ14</x:v>
      </x:c>
      <x:c r="D527" s="36" t="str">
        <x:v>查找填充目标不明确</x:v>
      </x:c>
      <x:c r="E527" s="36" t="str">
        <x:v>clarification_required</x:v>
      </x:c>
      <x:c r="F527" s="36" t="str">
        <x:v>human_context_explicit</x:v>
      </x:c>
      <x:c r="G527" s="36" t="str">
        <x:v>challenge</x:v>
      </x:c>
      <x:c r="H527" s="36" t="str">
        <x:v>困难</x:v>
      </x:c>
      <x:c r="I527" s="36" t="str">
        <x:v>7e429b8d-a3f0-4ed0-9b58-08957d00b127|01b269ae-2111-4a07-81fd-3fcd711993b0|f9584479-3d0d-4c79-affa-9ad7afdd8850</x:v>
      </x:c>
      <x:c r="J527" s="36" t="str">
        <x:v>CTX_7e429b8d-a3f0-4ed0-9b58-08957d00b127|CTX_01b269ae-2111-4a07-81fd-3fcd711993b0|CTX_f9584479-3d0d-4c79-affa-9ad7afdd8850</x:v>
      </x:c>
      <x:c r="K527" s="36" t="str"/>
      <x:c r="L527" s="36" t="str">
        <x:v>STM_7e429b8d-a3f0-4ed0-9b58-08957d00b127|STM_01b269ae-2111-4a07-81fd-3fcd711993b0|MTM_f9584479-3d0d-4c79-affa-9ad7afdd8850</x:v>
      </x:c>
      <x:c r="M527" s="36" t="str"/>
      <x:c r="N527" s="36" t="str">
        <x:v>知识|工作流程</x:v>
      </x:c>
      <x:c r="O527" s="36" t="str">
        <x:v>短期|中期</x:v>
      </x:c>
      <x:c r="P527" s="36" t="str">
        <x:v>["libreoffice_calc"]</x:v>
      </x:c>
      <x:c r="Q527" s="36" t="str">
        <x:v>[]</x:v>
      </x:c>
      <x:c r="R527" s="36" t="str">
        <x:v>[]</x:v>
      </x:c>
      <x:c r="S527" s="36" t="str"/>
      <x:c r="T527" s="36" t="str">
        <x:v>VLOOKUP_Fill_the_form.xlsx|Student_Level_Fill_Blank.xlsx|Quarterly_Product_Sales_by_Zone.xlsx</x:v>
      </x:c>
      <x:c r="U527" s="36" t="str">
        <x:v>ask_clarification</x:v>
      </x:c>
      <x:c r="V527" s="36" t="str">
        <x:v>[{"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x:v>
      </x:c>
      <x:c r="W527" s="36" t="str">
        <x:v>1.00</x:v>
      </x:c>
      <x:c r="X527" s="39" t="str">
        <x:v>这张表缺的内容按之前的方式补一下。</x:v>
      </x:c>
      <x:c r="Y527" s="39" t="str">
        <x:v>不适用：当前题目在用户完成澄清前没有唯一的必需记忆。</x:v>
      </x:c>
      <x:c r="Z527"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x:v>
      </x:c>
      <x:c r="AA527" s="39" t="str">
        <x:v>不适用：当前题目没有指定需要排除的冲突或禁止记忆。</x:v>
      </x:c>
      <x:c r="AB527" s="39" t="str">
        <x:v>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C527" s="39" t="str">
        <x:v>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x:v>
      </x:c>
      <x:c r="AD527" s="39" t="str">
        <x:v>用户的完整请求是：“这张表缺的内容按之前的方式补一下。”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E527"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527" s="50" t="str">
        <x:v>not_pass</x:v>
      </x:c>
      <x:c r="AG527" s="50" t="n">
        <x:v>0</x:v>
      </x:c>
    </x:row>
    <x:row r="528" ht="243" customHeight="1">
      <x:c r="A528" s="35" t="str">
        <x:v>V3_AQ14_Q02</x:v>
      </x:c>
      <x:c r="B528" s="36" t="str">
        <x:v>SG_CLARIFY_AQ14</x:v>
      </x:c>
      <x:c r="C528" s="36" t="str">
        <x:v>AQ14</x:v>
      </x:c>
      <x:c r="D528" s="36" t="str">
        <x:v>查找填充目标不明确</x:v>
      </x:c>
      <x:c r="E528" s="36" t="str">
        <x:v>clarification_required</x:v>
      </x:c>
      <x:c r="F528" s="36" t="str">
        <x:v>human_goal_oriented</x:v>
      </x:c>
      <x:c r="G528" s="36" t="str">
        <x:v>challenge</x:v>
      </x:c>
      <x:c r="H528" s="36" t="str">
        <x:v>困难</x:v>
      </x:c>
      <x:c r="I528" s="36" t="str">
        <x:v>7e429b8d-a3f0-4ed0-9b58-08957d00b127|01b269ae-2111-4a07-81fd-3fcd711993b0|f9584479-3d0d-4c79-affa-9ad7afdd8850</x:v>
      </x:c>
      <x:c r="J528" s="36" t="str">
        <x:v>CTX_7e429b8d-a3f0-4ed0-9b58-08957d00b127|CTX_01b269ae-2111-4a07-81fd-3fcd711993b0|CTX_f9584479-3d0d-4c79-affa-9ad7afdd8850</x:v>
      </x:c>
      <x:c r="K528" s="36" t="str"/>
      <x:c r="L528" s="36" t="str">
        <x:v>STM_7e429b8d-a3f0-4ed0-9b58-08957d00b127|STM_01b269ae-2111-4a07-81fd-3fcd711993b0|MTM_f9584479-3d0d-4c79-affa-9ad7afdd8850</x:v>
      </x:c>
      <x:c r="M528" s="36" t="str"/>
      <x:c r="N528" s="36" t="str">
        <x:v>知识|工作流程</x:v>
      </x:c>
      <x:c r="O528" s="36" t="str">
        <x:v>短期|中期</x:v>
      </x:c>
      <x:c r="P528" s="36" t="str">
        <x:v>["libreoffice_calc"]</x:v>
      </x:c>
      <x:c r="Q528" s="36" t="str">
        <x:v>[]</x:v>
      </x:c>
      <x:c r="R528" s="36" t="str">
        <x:v>[]</x:v>
      </x:c>
      <x:c r="S528" s="36" t="str"/>
      <x:c r="T528" s="36" t="str">
        <x:v>VLOOKUP_Fill_the_form.xlsx|Student_Level_Fill_Blank.xlsx|Quarterly_Product_Sales_by_Zone.xlsx</x:v>
      </x:c>
      <x:c r="U528" s="36" t="str">
        <x:v>ask_clarification</x:v>
      </x:c>
      <x:c r="V528" s="36" t="str">
        <x:v>[{"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x:v>
      </x:c>
      <x:c r="W528" s="36" t="str">
        <x:v>1.00</x:v>
      </x:c>
      <x:c r="X528" s="39" t="str">
        <x:v>目标区域还是照上次的规则填完整。</x:v>
      </x:c>
      <x:c r="Y528" s="39" t="str">
        <x:v>不适用：当前题目在用户完成澄清前没有唯一的必需记忆。</x:v>
      </x:c>
      <x:c r="Z528"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x:v>
      </x:c>
      <x:c r="AA528" s="39" t="str">
        <x:v>不适用：当前题目没有指定需要排除的冲突或禁止记忆。</x:v>
      </x:c>
      <x:c r="AB528" s="39" t="str">
        <x:v>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C528" s="39" t="str">
        <x:v>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x:v>
      </x:c>
      <x:c r="AD528" s="39" t="str">
        <x:v>用户的完整请求是：“目标区域还是照上次的规则填完整。”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E528"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528" s="50" t="str">
        <x:v>not_pass</x:v>
      </x:c>
      <x:c r="AG528" s="50" t="n">
        <x:v>0</x:v>
      </x:c>
    </x:row>
    <x:row r="529" ht="243" customHeight="1">
      <x:c r="A529" s="35" t="str">
        <x:v>V3_AQ14_Q03</x:v>
      </x:c>
      <x:c r="B529" s="36" t="str">
        <x:v>SG_CLARIFY_AQ14</x:v>
      </x:c>
      <x:c r="C529" s="36" t="str">
        <x:v>AQ14</x:v>
      </x:c>
      <x:c r="D529" s="36" t="str">
        <x:v>查找填充目标不明确</x:v>
      </x:c>
      <x:c r="E529" s="36" t="str">
        <x:v>clarification_required</x:v>
      </x:c>
      <x:c r="F529" s="36" t="str">
        <x:v>contextual_ellipsis</x:v>
      </x:c>
      <x:c r="G529" s="36" t="str">
        <x:v>challenge</x:v>
      </x:c>
      <x:c r="H529" s="36" t="str">
        <x:v>困难</x:v>
      </x:c>
      <x:c r="I529" s="36" t="str">
        <x:v>7e429b8d-a3f0-4ed0-9b58-08957d00b127|01b269ae-2111-4a07-81fd-3fcd711993b0|f9584479-3d0d-4c79-affa-9ad7afdd8850</x:v>
      </x:c>
      <x:c r="J529" s="36" t="str">
        <x:v>CTX_7e429b8d-a3f0-4ed0-9b58-08957d00b127|CTX_01b269ae-2111-4a07-81fd-3fcd711993b0|CTX_f9584479-3d0d-4c79-affa-9ad7afdd8850</x:v>
      </x:c>
      <x:c r="K529" s="36" t="str"/>
      <x:c r="L529" s="36" t="str">
        <x:v>STM_7e429b8d-a3f0-4ed0-9b58-08957d00b127|STM_01b269ae-2111-4a07-81fd-3fcd711993b0|MTM_f9584479-3d0d-4c79-affa-9ad7afdd8850</x:v>
      </x:c>
      <x:c r="M529" s="36" t="str"/>
      <x:c r="N529" s="36" t="str">
        <x:v>知识|工作流程</x:v>
      </x:c>
      <x:c r="O529" s="36" t="str">
        <x:v>短期|中期</x:v>
      </x:c>
      <x:c r="P529" s="36" t="str">
        <x:v>["libreoffice_calc"]</x:v>
      </x:c>
      <x:c r="Q529" s="36" t="str">
        <x:v>[]</x:v>
      </x:c>
      <x:c r="R529" s="36" t="str">
        <x:v>[]</x:v>
      </x:c>
      <x:c r="S529" s="36" t="str"/>
      <x:c r="T529" s="36" t="str">
        <x:v>VLOOKUP_Fill_the_form.xlsx|Student_Level_Fill_Blank.xlsx|Quarterly_Product_Sales_by_Zone.xlsx</x:v>
      </x:c>
      <x:c r="U529" s="36" t="str">
        <x:v>ask_clarification</x:v>
      </x:c>
      <x:c r="V529" s="36" t="str">
        <x:v>[{"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x:v>
      </x:c>
      <x:c r="W529" s="36" t="str">
        <x:v>1.00</x:v>
      </x:c>
      <x:c r="X529" s="39" t="str">
        <x:v>文件已经打开了，把空着的结果按旧办法补好。</x:v>
      </x:c>
      <x:c r="Y529" s="39" t="str">
        <x:v>不适用：当前题目在用户完成澄清前没有唯一的必需记忆。</x:v>
      </x:c>
      <x:c r="Z529"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x:v>
      </x:c>
      <x:c r="AA529" s="39" t="str">
        <x:v>不适用：当前题目没有指定需要排除的冲突或禁止记忆。</x:v>
      </x:c>
      <x:c r="AB529" s="39" t="str">
        <x:v>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C529" s="39" t="str">
        <x:v>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x:v>
      </x:c>
      <x:c r="AD529" s="39" t="str">
        <x:v>用户的完整请求是：“文件已经打开了，把空着的结果按旧办法补好。”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E529"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529" s="50" t="str">
        <x:v>not_pass</x:v>
      </x:c>
      <x:c r="AG529" s="50" t="n">
        <x:v>0</x:v>
      </x:c>
    </x:row>
    <x:row r="530" ht="243" customHeight="1">
      <x:c r="A530" s="35" t="str">
        <x:v>V3_AQ14_Q04</x:v>
      </x:c>
      <x:c r="B530" s="36" t="str">
        <x:v>SG_CLARIFY_AQ14</x:v>
      </x:c>
      <x:c r="C530" s="36" t="str">
        <x:v>AQ14</x:v>
      </x:c>
      <x:c r="D530" s="36" t="str">
        <x:v>查找填充目标不明确</x:v>
      </x:c>
      <x:c r="E530" s="36" t="str">
        <x:v>clarification_required</x:v>
      </x:c>
      <x:c r="F530" s="36" t="str">
        <x:v>low_overlap_paraphrase</x:v>
      </x:c>
      <x:c r="G530" s="36" t="str">
        <x:v>challenge</x:v>
      </x:c>
      <x:c r="H530" s="36" t="str">
        <x:v>困难</x:v>
      </x:c>
      <x:c r="I530" s="36" t="str">
        <x:v>7e429b8d-a3f0-4ed0-9b58-08957d00b127|01b269ae-2111-4a07-81fd-3fcd711993b0|f9584479-3d0d-4c79-affa-9ad7afdd8850</x:v>
      </x:c>
      <x:c r="J530" s="36" t="str">
        <x:v>CTX_7e429b8d-a3f0-4ed0-9b58-08957d00b127|CTX_01b269ae-2111-4a07-81fd-3fcd711993b0|CTX_f9584479-3d0d-4c79-affa-9ad7afdd8850</x:v>
      </x:c>
      <x:c r="K530" s="36" t="str"/>
      <x:c r="L530" s="36" t="str">
        <x:v>STM_7e429b8d-a3f0-4ed0-9b58-08957d00b127|STM_01b269ae-2111-4a07-81fd-3fcd711993b0|MTM_f9584479-3d0d-4c79-affa-9ad7afdd8850</x:v>
      </x:c>
      <x:c r="M530" s="36" t="str"/>
      <x:c r="N530" s="36" t="str">
        <x:v>知识|工作流程</x:v>
      </x:c>
      <x:c r="O530" s="36" t="str">
        <x:v>短期|中期</x:v>
      </x:c>
      <x:c r="P530" s="36" t="str">
        <x:v>["libreoffice_calc"]</x:v>
      </x:c>
      <x:c r="Q530" s="36" t="str">
        <x:v>[]</x:v>
      </x:c>
      <x:c r="R530" s="36" t="str">
        <x:v>[]</x:v>
      </x:c>
      <x:c r="S530" s="36" t="str"/>
      <x:c r="T530" s="36" t="str">
        <x:v>VLOOKUP_Fill_the_form.xlsx|Student_Level_Fill_Blank.xlsx|Quarterly_Product_Sales_by_Zone.xlsx</x:v>
      </x:c>
      <x:c r="U530" s="36" t="str">
        <x:v>ask_clarification</x:v>
      </x:c>
      <x:c r="V530" s="36" t="str">
        <x:v>[{"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x:v>
      </x:c>
      <x:c r="W530" s="36" t="str">
        <x:v>1.00</x:v>
      </x:c>
      <x:c r="X530" s="39" t="str">
        <x:v>这批缺失值继续沿用以前的处理方式。</x:v>
      </x:c>
      <x:c r="Y530" s="39" t="str">
        <x:v>不适用：当前题目在用户完成澄清前没有唯一的必需记忆。</x:v>
      </x:c>
      <x:c r="Z530"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x:v>
      </x:c>
      <x:c r="AA530" s="39" t="str">
        <x:v>不适用：当前题目没有指定需要排除的冲突或禁止记忆。</x:v>
      </x:c>
      <x:c r="AB530" s="39" t="str">
        <x:v>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C530" s="39" t="str">
        <x:v>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x:v>
      </x:c>
      <x:c r="AD530" s="39" t="str">
        <x:v>用户的完整请求是：“这批缺失值继续沿用以前的处理方式。”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E530"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530" s="50" t="str">
        <x:v>not_pass</x:v>
      </x:c>
      <x:c r="AG530" s="50" t="n">
        <x:v>0</x:v>
      </x:c>
    </x:row>
    <x:row r="531" ht="243" customHeight="1">
      <x:c r="A531" s="35" t="str">
        <x:v>V3_AQ14_Q05</x:v>
      </x:c>
      <x:c r="B531" s="36" t="str">
        <x:v>SG_CLARIFY_AQ14</x:v>
      </x:c>
      <x:c r="C531" s="36" t="str">
        <x:v>AQ14</x:v>
      </x:c>
      <x:c r="D531" s="36" t="str">
        <x:v>查找填充目标不明确</x:v>
      </x:c>
      <x:c r="E531" s="36" t="str">
        <x:v>clarification_required</x:v>
      </x:c>
      <x:c r="F531" s="36" t="str">
        <x:v>human_constraint_emphasis</x:v>
      </x:c>
      <x:c r="G531" s="36" t="str">
        <x:v>challenge</x:v>
      </x:c>
      <x:c r="H531" s="36" t="str">
        <x:v>困难</x:v>
      </x:c>
      <x:c r="I531" s="36" t="str">
        <x:v>7e429b8d-a3f0-4ed0-9b58-08957d00b127|01b269ae-2111-4a07-81fd-3fcd711993b0|f9584479-3d0d-4c79-affa-9ad7afdd8850</x:v>
      </x:c>
      <x:c r="J531" s="36" t="str">
        <x:v>CTX_7e429b8d-a3f0-4ed0-9b58-08957d00b127|CTX_01b269ae-2111-4a07-81fd-3fcd711993b0|CTX_f9584479-3d0d-4c79-affa-9ad7afdd8850</x:v>
      </x:c>
      <x:c r="K531" s="36" t="str"/>
      <x:c r="L531" s="36" t="str">
        <x:v>STM_7e429b8d-a3f0-4ed0-9b58-08957d00b127|STM_01b269ae-2111-4a07-81fd-3fcd711993b0|MTM_f9584479-3d0d-4c79-affa-9ad7afdd8850</x:v>
      </x:c>
      <x:c r="M531" s="36" t="str"/>
      <x:c r="N531" s="36" t="str">
        <x:v>知识|工作流程</x:v>
      </x:c>
      <x:c r="O531" s="36" t="str">
        <x:v>短期|中期</x:v>
      </x:c>
      <x:c r="P531" s="36" t="str">
        <x:v>["libreoffice_calc"]</x:v>
      </x:c>
      <x:c r="Q531" s="36" t="str">
        <x:v>[]</x:v>
      </x:c>
      <x:c r="R531" s="36" t="str">
        <x:v>[]</x:v>
      </x:c>
      <x:c r="S531" s="36" t="str"/>
      <x:c r="T531" s="36" t="str">
        <x:v>VLOOKUP_Fill_the_form.xlsx|Student_Level_Fill_Blank.xlsx|Quarterly_Product_Sales_by_Zone.xlsx</x:v>
      </x:c>
      <x:c r="U531" s="36" t="str">
        <x:v>ask_clarification</x:v>
      </x:c>
      <x:c r="V531" s="36" t="str">
        <x:v>[{"point_id":"P1","description":"识别当前信息不足以唯一确定历史方案，不直接执行","weight":0.5,"evidence_memory_ids":["STM_7e429b8d-a3f0-4ed0-9b58-08957d00b127","STM_01b269ae-2111-4a07-81fd-3fcd711993b0","MTM_f9584479-3d0d-4c79-affa-9ad7afdd8850"]},{"point_id":"P2","description":"提出能够区分现有候选方案的澄清问题","weight":0.4,"evidence_memory_ids":["STM_7e429b8d-a3f0-4ed0-9b58-08957d00b127","STM_01b269ae-2111-4a07-81fd-3fcd711993b0","MTM_f9584479-3d0d-4c79-affa-9ad7afdd8850"]},{"point_id":"P3","description":"澄清前不擅自选择任一候选记忆","weight":0.1,"evidence_memory_ids":["STM_7e429b8d-a3f0-4ed0-9b58-08957d00b127","STM_01b269ae-2111-4a07-81fd-3fcd711993b0","MTM_f9584479-3d0d-4c79-affa-9ad7afdd8850"]}]</x:v>
      </x:c>
      <x:c r="W531" s="36" t="str">
        <x:v>1.00</x:v>
      </x:c>
      <x:c r="X531" s="39" t="str">
        <x:v>把没填完的部分按我们之前的口径处理。</x:v>
      </x:c>
      <x:c r="Y531" s="39" t="str">
        <x:v>不适用：当前题目在用户完成澄清前没有唯一的必需记忆。</x:v>
      </x:c>
      <x:c r="Z531" s="39" t="str">
        <x:v>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x:v>
      </x:c>
      <x:c r="AA531" s="39" t="str">
        <x:v>不适用：当前题目没有指定需要排除的冲突或禁止记忆。</x:v>
      </x:c>
      <x:c r="AB531" s="39" t="str">
        <x:v>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C531" s="39" t="str">
        <x:v>当前阶段不执行文件修改、数据处理、格式调整或结果导出。实际操作应当是先向用户完整列出并区分以下候选方案：1）在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中计算并填补所有缺失的行总计和列总计。只有在用户明确说明目标文件、工作表、范围、输出形式或具体方案后，才按照用户选定的对应记忆执行。</x:v>
      </x:c>
      <x:c r="AD531" s="39" t="str">
        <x:v>用户的完整请求是：“把没填完的部分按我们之前的口径处理。” 第1个当前上下文：VLOOKUP_Fill_the_form.xlsx 已在 LibreOffice Calc 中打开。 第2个当前上下文：Student_Level_Fill_Blank.xlsx 已在 LibreOffice Calc 中打开。 第3个当前上下文：Quarterly_Product_Sales_by_Zone.xlsx 已在 LibreOffice Calc 中打开。 当前请求只表达了“继续以前的做法”或“按之前方式处理”这类概括性目标，没有说明具体要得到哪一种结果。历史中同时存在以下完整候选记忆：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这些候选记忆都与当前文件或工作主题相关，但它们要求的操作对象、处理步骤或输出结果不同，不能被当作同一个方案。Query 没有提供足以在这些方案之间作唯一选择的文件范围、工作表、目标字段、图表类型、汇总方式或导出形式，因此系统如果直接选择任意一条记忆执行，就可能产生与用户真实意图不一致的修改。基于这一证据关系，正确决策不是猜测最相似的记忆，而是暂停具体操作，向用户逐项说明候选方案并询问其选择。最终应给出的结论是：“现有信息不足，不能直接执行具体操作。应先向用户确认究竟采用以下哪一种已有方案：1）在 VLOOKUP_Fill_the_form.xlsx 中根据分支机构对照表，以 headoffice/branch name 为键查找对应 officer，并填入另一张表的 officer name 字段；2）处理 Student_Level_Fill_Blank.xlsx 时，将 B1:E30 内的空白单元格填成其上方单元格的值，并保持其他区域不变；3）在 Quarterly_Product_Sales_by_Zone.xlsx 中计算并填补所有缺失的行总计和列总计。在用户明确选择前，不应擅自执行其中任何一个方案。”</x:v>
      </x:c>
      <x:c r="AE531" s="39" t="str">
        <x:v>本题总分为 1.00 分，各得分点独立累计，允许语义等价表达，不要求模型输出记忆 ID，也不要求逐字复述记忆原文。
第1个得分点（0.50分）：识别当前信息不足以唯一确定历史方案，不直接执行。该得分点所依据的完整证据为：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第2个得分点（0.40分）：提出能够区分现有候选方案的澄清问题。该得分点所依据的完整证据为：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第3个得分点（0.10分）：澄清前不擅自选择任一候选记忆。该得分点所依据的完整证据为：
第1条记忆（短期/知识）：在 VLOOKUP_Fill_the_form.xlsx 中根据分支机构对照表，以 headoffice/branch name 为键查找对应 officer，并填入另一张表的 officer name 字段。关键约束：以分支机构名称匹配；使用已有对照表；不得凭空生成 officer 名称。
第2条记忆（短期/工作流程）：处理 Student_Level_Fill_Blank.xlsx 时，将 B1:E30 内的空白单元格填成其上方单元格的值，并保持其他区域不变。关键约束：仅处理 B1:E30；不修改其他区域，即使其他区域也为空白。
第3条记忆（中期/知识）：在 Quarterly_Product_Sales_by_Zone.xlsx 中计算并填补所有缺失的行总计和列总计。关键约束：同时检查行总计与列总计；只填缺失的总计单元格；保持原始明细不变。
人工复审时，应依据模型最终给出的信息和实际操作是否满足上述每个得分点分别给分；只命中记忆 ID 但没有形成对应结论不能获得该结论分，形成了正确结论但表达方式不同则不应扣分。</x:v>
      </x:c>
      <x:c r="AF531" s="50" t="str">
        <x:v>not_pass</x:v>
      </x:c>
      <x:c r="AG531" s="50" t="n">
        <x:v>0</x:v>
      </x:c>
    </x:row>
  </x:sheetData>
  <x:dataValidations count="2">
    <x:dataValidation type="list" sqref="AF2:AF531">
      <x:formula1>"not_pass,pass"</x:formula1>
    </x:dataValidation>
    <x:dataValidation type="whole" operator="between" sqref="AG2:AG531">
      <x:formula1>0</x:formula1>
      <x:formula2>5</x:formula2>
    </x:dataValidation>
  </x:dataValidations>
  <x:pageMargins left="0.7" right="0.7" top="0.75" bottom="0.75" header="0.3" footer="0.3"/>
  <x:tableParts count="1">
    <x:tablePart xmlns:r="http://schemas.openxmlformats.org/officeDocument/2006/relationships" r:id="Rfb4c116057534aa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115" hidden="0" customWidth="1"/>
  </x:cols>
  <x:sheetData>
    <x:row r="1">
      <x:c r="A1" s="12" t="str">
        <x:v>项目</x:v>
      </x:c>
      <x:c r="B1" s="12" t="str">
        <x:v>说明</x:v>
      </x:c>
    </x:row>
    <x:row r="2" ht="48" customHeight="1">
      <x:c r="A2" s="32" t="str">
        <x:v>复审顺序</x:v>
      </x:c>
      <x:c r="B2" s="34" t="str">
        <x:v>从最右侧 query_text 开始，依次检查记忆文本、预期结论、实际操作、答案逻辑和评分标准，最后由人工填写 status 与 rank。</x:v>
      </x:c>
    </x:row>
    <x:row r="3" ht="48" customHeight="1">
      <x:c r="A3" s="35" t="str">
        <x:v>status</x:v>
      </x:c>
      <x:c r="B3" s="37" t="str">
        <x:v>默认 not_pass，仅为初始占位值；由人工改为 not_pass 或 pass，数据集不替人工判断。</x:v>
      </x:c>
    </x:row>
    <x:row r="4" ht="48" customHeight="1">
      <x:c r="A4" s="35" t="str">
        <x:v>rank</x:v>
      </x:c>
      <x:c r="B4" s="37" t="str">
        <x:v>默认 0，仅为初始占位值；由人工填写 0 至 5 的 Query 质量分，数据集不根据内容自动赋值。</x:v>
      </x:c>
    </x:row>
    <x:row r="5" ht="48" customHeight="1">
      <x:c r="A5" s="35" t="str">
        <x:v>应调用记忆</x:v>
      </x:c>
      <x:c r="B5" s="37" t="str">
        <x:v>检查 required_memory_texts 是否足以支持答案；多记忆题必须检查每条记忆是否确实贡献独立结论。</x:v>
      </x:c>
    </x:row>
    <x:row r="6" ht="48" customHeight="1">
      <x:c r="A6" s="35" t="str">
        <x:v>候选记忆</x:v>
      </x:c>
      <x:c r="B6" s="37" t="str">
        <x:v>仅澄清题重点检查：候选是否都可能成立，以及 Query 是否确实缺少唯一选择条件。</x:v>
      </x:c>
    </x:row>
    <x:row r="7" ht="48" customHeight="1">
      <x:c r="A7" s="35" t="str">
        <x:v>禁止记忆</x:v>
      </x:c>
      <x:c r="B7" s="37" t="str">
        <x:v>仅冲突题重点检查：禁止记忆是否与当前请求相似但会产生错误操作或错误输出。</x:v>
      </x:c>
    </x:row>
    <x:row r="8" ht="48" customHeight="1">
      <x:c r="A8" s="35" t="str">
        <x:v>应给出信息</x:v>
      </x:c>
      <x:c r="B8" s="37" t="str">
        <x:v>检查 expected_conclusion 是否完整回答用户，并明确保留约束、排除错误方案或提出澄清。</x:v>
      </x:c>
    </x:row>
    <x:row r="9" ht="48" customHeight="1">
      <x:c r="A9" s="35" t="str">
        <x:v>实际操作</x:v>
      </x:c>
      <x:c r="B9" s="37" t="str">
        <x:v>检查 expected_operation_text 是否完整描述文件、对象、步骤、范围、格式和输出，不得加入无来源操作。</x:v>
      </x:c>
    </x:row>
    <x:row r="10" ht="48" customHeight="1">
      <x:c r="A10" s="35" t="str">
        <x:v>答案逻辑</x:v>
      </x:c>
      <x:c r="B10" s="37" t="str">
        <x:v>检查 answer_reasoning 是否形成 Query→上下文→记忆证据→排除/合成→结论的完整证据链。</x:v>
      </x:c>
    </x:row>
    <x:row r="11" ht="48" customHeight="1">
      <x:c r="A11" s="35" t="str">
        <x:v>评分标准</x:v>
      </x:c>
      <x:c r="B11" s="37" t="str">
        <x:v>检查每个得分点、权重和完整证据文本；各点权重总和必须为 1.00。</x:v>
      </x:c>
    </x:row>
    <x:row r="12" ht="48" customHeight="1">
      <x:c r="A12" s="35" t="str">
        <x:v>Query 数量</x:v>
      </x:c>
      <x:c r="B12" s="37" t="str">
        <x:v>每个 answer_group_id 固定五条，分别对应五种原始 Query 类型；同一规范化完整答案最多五条。</x:v>
      </x:c>
    </x:row>
  </x:sheetData>
  <x:pageMargins left="0.7" right="0.7" top="0.75" bottom="0.75" header="0.3" footer="0.3"/>
  <x:tableParts count="1">
    <x:tablePart xmlns:r="http://schemas.openxmlformats.org/officeDocument/2006/relationships" r:id="Rd31fcff2bf6c4c4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25" hidden="0" customWidth="1"/>
    <x:col min="2" max="2" width="15" hidden="0" customWidth="1"/>
    <x:col min="3" max="3" width="53.75" hidden="0" customWidth="1"/>
  </x:cols>
  <x:sheetData>
    <x:row r="1" ht="28.5" customHeight="1">
      <x:c r="A1" s="12" t="str">
        <x:v>指标</x:v>
      </x:c>
      <x:c r="B1" s="12" t="str">
        <x:v>值</x:v>
      </x:c>
      <x:c r="C1" s="12" t="str">
        <x:v>说明</x:v>
      </x:c>
    </x:row>
    <x:row r="2" ht="28.5" customHeight="1">
      <x:c r="A2" s="32" t="str">
        <x:v>Query 总数</x:v>
      </x:c>
      <x:c r="B2" s="51" t="n">
        <x:f>COUNTA('Human_Review'!$A$2:$A$531)</x:f>
        <x:v>530</x:v>
      </x:c>
      <x:c r="C2" s="34" t="str">
        <x:v>压缩后的人工复审候选</x:v>
      </x:c>
    </x:row>
    <x:row r="3" ht="28.5" customHeight="1">
      <x:c r="A3" s="35" t="str">
        <x:v>答案组</x:v>
      </x:c>
      <x:c r="B3" s="52" t="n">
        <x:v>106</x:v>
      </x:c>
      <x:c r="C3" s="37" t="str">
        <x:v>每组固定五条 Query</x:v>
      </x:c>
    </x:row>
    <x:row r="4" ht="28.5" customHeight="1">
      <x:c r="A4" s="35" t="str">
        <x:v>not_pass</x:v>
      </x:c>
      <x:c r="B4" s="52" t="n">
        <x:f>COUNTIF('Human_Review'!$AF$2:$AF$531,"not_pass")</x:f>
        <x:v>530</x:v>
      </x:c>
      <x:c r="C4" s="37" t="str">
        <x:v>人工 status 当前值</x:v>
      </x:c>
    </x:row>
    <x:row r="5" ht="28.5" customHeight="1">
      <x:c r="A5" s="35" t="str">
        <x:v>pass</x:v>
      </x:c>
      <x:c r="B5" s="52" t="n">
        <x:f>COUNTIF('Human_Review'!$AF$2:$AF$531,"pass")</x:f>
        <x:v>0</x:v>
      </x:c>
      <x:c r="C5" s="37" t="str">
        <x:v>人工 status 当前值</x:v>
      </x:c>
    </x:row>
    <x:row r="6" ht="28.5" customHeight="1">
      <x:c r="A6" s="35" t="str">
        <x:v>rank=0</x:v>
      </x:c>
      <x:c r="B6" s="52" t="n">
        <x:f>COUNTIF('Human_Review'!$AG$2:$AG$531,0)</x:f>
        <x:v>530</x:v>
      </x:c>
      <x:c r="C6" s="37" t="str">
        <x:v>人工 rank 当前值</x:v>
      </x:c>
    </x:row>
    <x:row r="7" ht="28.5" customHeight="1">
      <x:c r="A7" s="35" t="str">
        <x:v>single_memory</x:v>
      </x:c>
      <x:c r="B7" s="52" t="n">
        <x:f>COUNTIF('Human_Review'!$E$2:$E$531,"single_memory")</x:f>
        <x:v>235</x:v>
      </x:c>
      <x:c r="C7" s="37" t="str">
        <x:v>单记忆题</x:v>
      </x:c>
    </x:row>
    <x:row r="8" ht="28.5" customHeight="1">
      <x:c r="A8" s="35" t="str">
        <x:v>complementary_multi_memory</x:v>
      </x:c>
      <x:c r="B8" s="52" t="n">
        <x:f>COUNTIF('Human_Review'!$E$2:$E$531,"complementary_multi_memory")</x:f>
        <x:v>150</x:v>
      </x:c>
      <x:c r="C8" s="37" t="str">
        <x:v>互补多记忆题</x:v>
      </x:c>
    </x:row>
    <x:row r="9" ht="28.5" customHeight="1">
      <x:c r="A9" s="35" t="str">
        <x:v>conflict_resolution</x:v>
      </x:c>
      <x:c r="B9" s="52" t="n">
        <x:f>COUNTIF('Human_Review'!$E$2:$E$531,"conflict_resolution")</x:f>
        <x:v>75</x:v>
      </x:c>
      <x:c r="C9" s="37" t="str">
        <x:v>冲突题</x:v>
      </x:c>
    </x:row>
    <x:row r="10" ht="28.5" customHeight="1">
      <x:c r="A10" s="35" t="str">
        <x:v>clarification_required</x:v>
      </x:c>
      <x:c r="B10" s="52" t="n">
        <x:f>COUNTIF('Human_Review'!$E$2:$E$531,"clarification_required")</x:f>
        <x:v>70</x:v>
      </x:c>
      <x:c r="C10" s="37" t="str">
        <x:v>澄清题</x:v>
      </x:c>
    </x:row>
    <x:row r="11" ht="28.5" customHeight="1">
      <x:c r="A11" s="35" t="str">
        <x:v>每个答案最大 Query 数</x:v>
      </x:c>
      <x:c r="B11" s="52" t="n">
        <x:v>5</x:v>
      </x:c>
      <x:c r="C11" s="37" t="str">
        <x:v>生成阶段硬性校验</x:v>
      </x:c>
    </x:row>
  </x:sheetData>
  <x:pageMargins left="0.7" right="0.7" top="0.75" bottom="0.75" header="0.3" footer="0.3"/>
</x:worksheet>
</file>